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8f7ab14e513bda/Desktop/"/>
    </mc:Choice>
  </mc:AlternateContent>
  <xr:revisionPtr revIDLastSave="65" documentId="8_{065988B4-CCA2-4D61-A101-2B4283B5FBAC}" xr6:coauthVersionLast="47" xr6:coauthVersionMax="47" xr10:uidLastSave="{29233C26-331F-4815-8E64-C8F505BBA6EC}"/>
  <bookViews>
    <workbookView xWindow="-108" yWindow="-108" windowWidth="23256" windowHeight="13896" firstSheet="1" activeTab="1" xr2:uid="{4C15D385-FAA2-4B4B-B7F3-B6EA929A2565}"/>
  </bookViews>
  <sheets>
    <sheet name="age_distribution" sheetId="3" r:id="rId1"/>
    <sheet name="high_risk" sheetId="2" r:id="rId2"/>
    <sheet name="frequent _transaction" sheetId="5" r:id="rId3"/>
    <sheet name="suspecious_transaction" sheetId="9" r:id="rId4"/>
    <sheet name="occupation_analysis" sheetId="7" r:id="rId5"/>
    <sheet name="multiple_login" sheetId="6" r:id="rId6"/>
    <sheet name="channel_usage" sheetId="4" r:id="rId7"/>
    <sheet name="Sheet1" sheetId="1" r:id="rId8"/>
  </sheets>
  <definedNames>
    <definedName name="ExternalData_1" localSheetId="6" hidden="1">'channel_usage'!$A$1:$B$4</definedName>
    <definedName name="ExternalData_1" localSheetId="1" hidden="1">high_risk!$A$1:$M$91</definedName>
    <definedName name="ExternalData_2" localSheetId="0" hidden="1">age_distribution!$A$1:$B$64</definedName>
    <definedName name="ExternalData_2" localSheetId="2" hidden="1">'frequent _transaction'!$A$1:$B$10</definedName>
    <definedName name="ExternalData_2" localSheetId="5" hidden="1">multiple_login!$A$1:$P$65</definedName>
    <definedName name="ExternalData_3" localSheetId="4" hidden="1">occupation_analysis!$A$1:$B$5</definedName>
    <definedName name="ExternalData_4" localSheetId="3" hidden="1">suspecious_transaction!$A$1:$P$139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B77DF7-20E8-47CB-8500-4E0D3FA85998}" keepAlive="1" name="Query - age distribution" description="Connection to the 'age distribution' query in the workbook." type="5" refreshedVersion="0" background="1">
    <dbPr connection="Provider=Microsoft.Mashup.OleDb.1;Data Source=$Workbook$;Location=&quot;age distribution&quot;;Extended Properties=&quot;&quot;" command="SELECT * FROM [age distribution]"/>
  </connection>
  <connection id="2" xr16:uid="{E7E2BBA4-578E-4067-BF6C-DB5252708EF2}" keepAlive="1" name="Query - age distribution (2)" description="Connection to the 'age distribution (2)' query in the workbook." type="5" refreshedVersion="8" background="1" saveData="1">
    <dbPr connection="Provider=Microsoft.Mashup.OleDb.1;Data Source=$Workbook$;Location=&quot;age distribution (2)&quot;;Extended Properties=&quot;&quot;" command="SELECT * FROM [age distribution (2)]"/>
  </connection>
  <connection id="3" xr16:uid="{536A9AAE-BD77-4046-816D-F00E6F42E293}" keepAlive="1" name="Query - channel usage" description="Connection to the 'channel usage' query in the workbook." type="5" refreshedVersion="8" background="1" saveData="1">
    <dbPr connection="Provider=Microsoft.Mashup.OleDb.1;Data Source=$Workbook$;Location=&quot;channel usage&quot;;Extended Properties=&quot;&quot;" command="SELECT * FROM [channel usage]"/>
  </connection>
  <connection id="4" xr16:uid="{9A517126-5D2A-4343-81F1-5D78F3919039}" keepAlive="1" name="Query - frequent transaction" description="Connection to the 'frequent transaction' query in the workbook." type="5" refreshedVersion="8" background="1" saveData="1">
    <dbPr connection="Provider=Microsoft.Mashup.OleDb.1;Data Source=$Workbook$;Location=&quot;frequent transaction&quot;;Extended Properties=&quot;&quot;" command="SELECT * FROM [frequent transaction]"/>
  </connection>
  <connection id="5" xr16:uid="{D7287B8A-F775-4663-8006-7EAC85C8A06D}" keepAlive="1" name="Query - high risk transaction" description="Connection to the 'high risk transaction' query in the workbook." type="5" refreshedVersion="8" background="1" saveData="1">
    <dbPr connection="Provider=Microsoft.Mashup.OleDb.1;Data Source=$Workbook$;Location=&quot;high risk transaction&quot;;Extended Properties=&quot;&quot;" command="SELECT * FROM [high risk transaction]"/>
  </connection>
  <connection id="6" xr16:uid="{5720ED06-9567-409E-A536-BD00A0AC4100}" keepAlive="1" name="Query - multiple login attempts" description="Connection to the 'multiple login attempts' query in the workbook." type="5" refreshedVersion="8" background="1" saveData="1">
    <dbPr connection="Provider=Microsoft.Mashup.OleDb.1;Data Source=$Workbook$;Location=&quot;multiple login attempts&quot;;Extended Properties=&quot;&quot;" command="SELECT * FROM [multiple login attempts]"/>
  </connection>
  <connection id="7" xr16:uid="{FFC9BD1D-EA71-470C-B651-20BB907E4DCC}" keepAlive="1" name="Query - occupation analysis" description="Connection to the 'occupation analysis' query in the workbook." type="5" refreshedVersion="8" background="1" saveData="1">
    <dbPr connection="Provider=Microsoft.Mashup.OleDb.1;Data Source=$Workbook$;Location=&quot;occupation analysis&quot;;Extended Properties=&quot;&quot;" command="SELECT * FROM [occupation analysis]"/>
  </connection>
  <connection id="8" xr16:uid="{53E60ABB-0D80-4A8D-9068-86A5DA6AB352}" keepAlive="1" name="Query - suspecious location" description="Connection to the 'suspecious location' query in the workbook." type="5" refreshedVersion="8" background="1" saveData="1">
    <dbPr connection="Provider=Microsoft.Mashup.OleDb.1;Data Source=$Workbook$;Location=&quot;suspecious location&quot;;Extended Properties=&quot;&quot;" command="SELECT * FROM [suspecious location]"/>
  </connection>
  <connection id="9" xr16:uid="{B4490588-A440-4518-9230-7CAC5A6F7EF7}" keepAlive="1" name="Query - suspecious transaction" description="Connection to the 'suspecious transaction' query in the workbook." type="5" refreshedVersion="8" background="1" saveData="1">
    <dbPr connection="Provider=Microsoft.Mashup.OleDb.1;Data Source=$Workbook$;Location=&quot;suspecious transaction&quot;;Extended Properties=&quot;&quot;" command="SELECT * FROM [suspecious transaction]"/>
  </connection>
</connections>
</file>

<file path=xl/sharedStrings.xml><?xml version="1.0" encoding="utf-8"?>
<sst xmlns="http://schemas.openxmlformats.org/spreadsheetml/2006/main" count="2429" uniqueCount="938">
  <si>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</si>
  <si>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</si>
  <si>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</si>
  <si>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</si>
  <si>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</si>
  <si>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</si>
  <si>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</si>
  <si>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IP_Address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</si>
  <si>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</si>
  <si>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</si>
  <si>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</si>
  <si>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</si>
  <si>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</si>
  <si>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</si>
  <si>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</si>
  <si>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PreviousTransactionDate</t>
  </si>
  <si>
    <t>TX000075</t>
  </si>
  <si>
    <t>AC00265</t>
  </si>
  <si>
    <t>Debit</t>
  </si>
  <si>
    <t>Indianapolis</t>
  </si>
  <si>
    <t>D000231</t>
  </si>
  <si>
    <t>193.83.0.183</t>
  </si>
  <si>
    <t>M036</t>
  </si>
  <si>
    <t>Branch</t>
  </si>
  <si>
    <t>Student</t>
  </si>
  <si>
    <t>TX000086</t>
  </si>
  <si>
    <t>AC00098</t>
  </si>
  <si>
    <t>Credit</t>
  </si>
  <si>
    <t>Austin</t>
  </si>
  <si>
    <t>165.114.224.47</t>
  </si>
  <si>
    <t>M012</t>
  </si>
  <si>
    <t>Online</t>
  </si>
  <si>
    <t>Engineer</t>
  </si>
  <si>
    <t>TX000111</t>
  </si>
  <si>
    <t>AC00068</t>
  </si>
  <si>
    <t>Columbus</t>
  </si>
  <si>
    <t>D000400</t>
  </si>
  <si>
    <t>77.7.223.184</t>
  </si>
  <si>
    <t>M077</t>
  </si>
  <si>
    <t>ATM</t>
  </si>
  <si>
    <t>Retired</t>
  </si>
  <si>
    <t>TX000130</t>
  </si>
  <si>
    <t>AC00320</t>
  </si>
  <si>
    <t>San Antonio</t>
  </si>
  <si>
    <t>D000015</t>
  </si>
  <si>
    <t>53.218.177.171</t>
  </si>
  <si>
    <t>M062</t>
  </si>
  <si>
    <t>Doctor</t>
  </si>
  <si>
    <t>TX000142</t>
  </si>
  <si>
    <t>AC00114</t>
  </si>
  <si>
    <t>Detroit</t>
  </si>
  <si>
    <t>M052</t>
  </si>
  <si>
    <t>TX000177</t>
  </si>
  <si>
    <t>AC00363</t>
  </si>
  <si>
    <t>El Paso</t>
  </si>
  <si>
    <t>M001</t>
  </si>
  <si>
    <t>TX000187</t>
  </si>
  <si>
    <t>AC00099</t>
  </si>
  <si>
    <t>Jacksonville</t>
  </si>
  <si>
    <t>D000208</t>
  </si>
  <si>
    <t>M032</t>
  </si>
  <si>
    <t>TX000191</t>
  </si>
  <si>
    <t>AC00396</t>
  </si>
  <si>
    <t>Washington</t>
  </si>
  <si>
    <t>TX000275</t>
  </si>
  <si>
    <t>AC00454</t>
  </si>
  <si>
    <t>Kansas City</t>
  </si>
  <si>
    <t>D000476</t>
  </si>
  <si>
    <t>50.202.8.53</t>
  </si>
  <si>
    <t>M074</t>
  </si>
  <si>
    <t>TX000292</t>
  </si>
  <si>
    <t>AC00284</t>
  </si>
  <si>
    <t>Omaha</t>
  </si>
  <si>
    <t>D000129</t>
  </si>
  <si>
    <t>93.218.115.132</t>
  </si>
  <si>
    <t>M067</t>
  </si>
  <si>
    <t>TX000312</t>
  </si>
  <si>
    <t>AC00285</t>
  </si>
  <si>
    <t>Denver</t>
  </si>
  <si>
    <t>D000098</t>
  </si>
  <si>
    <t>83.207.115.164</t>
  </si>
  <si>
    <t>M091</t>
  </si>
  <si>
    <t>TX000341</t>
  </si>
  <si>
    <t>AC00107</t>
  </si>
  <si>
    <t>62.27.235.199</t>
  </si>
  <si>
    <t>M082</t>
  </si>
  <si>
    <t>TX000345</t>
  </si>
  <si>
    <t>AC00156</t>
  </si>
  <si>
    <t>Houston</t>
  </si>
  <si>
    <t>D000312</t>
  </si>
  <si>
    <t>TX000376</t>
  </si>
  <si>
    <t>AC00316</t>
  </si>
  <si>
    <t>D000113</t>
  </si>
  <si>
    <t>M013</t>
  </si>
  <si>
    <t>TX000424</t>
  </si>
  <si>
    <t>AC00262</t>
  </si>
  <si>
    <t>Colorado Springs</t>
  </si>
  <si>
    <t>D000234</t>
  </si>
  <si>
    <t>167.164.55.0</t>
  </si>
  <si>
    <t>M005</t>
  </si>
  <si>
    <t>TX000441</t>
  </si>
  <si>
    <t>AC00040</t>
  </si>
  <si>
    <t>M060</t>
  </si>
  <si>
    <t>TX000476</t>
  </si>
  <si>
    <t>AC00464</t>
  </si>
  <si>
    <t>Oklahoma City</t>
  </si>
  <si>
    <t>D000563</t>
  </si>
  <si>
    <t>7.105.184.86</t>
  </si>
  <si>
    <t>TX000487</t>
  </si>
  <si>
    <t>AC00148</t>
  </si>
  <si>
    <t>Nashville</t>
  </si>
  <si>
    <t>M015</t>
  </si>
  <si>
    <t>TX000512</t>
  </si>
  <si>
    <t>AC00153</t>
  </si>
  <si>
    <t>San Diego</t>
  </si>
  <si>
    <t>D000633</t>
  </si>
  <si>
    <t>164.75.163.220</t>
  </si>
  <si>
    <t>M057</t>
  </si>
  <si>
    <t>TX000530</t>
  </si>
  <si>
    <t>87.50.72.69</t>
  </si>
  <si>
    <t>M070</t>
  </si>
  <si>
    <t>TX000536</t>
  </si>
  <si>
    <t>AC00161</t>
  </si>
  <si>
    <t>Tucson</t>
  </si>
  <si>
    <t>D000673</t>
  </si>
  <si>
    <t>96.24.89.146</t>
  </si>
  <si>
    <t>TX000556</t>
  </si>
  <si>
    <t>AC00433</t>
  </si>
  <si>
    <t>D000388</t>
  </si>
  <si>
    <t>TX000615</t>
  </si>
  <si>
    <t>AC00466</t>
  </si>
  <si>
    <t>Fort Worth</t>
  </si>
  <si>
    <t>D000643</t>
  </si>
  <si>
    <t>28.149.72.129</t>
  </si>
  <si>
    <t>TX000623</t>
  </si>
  <si>
    <t>AC00354</t>
  </si>
  <si>
    <t>62.152.134.92</t>
  </si>
  <si>
    <t>M009</t>
  </si>
  <si>
    <t>TX000652</t>
  </si>
  <si>
    <t>AC00208</t>
  </si>
  <si>
    <t>Miami</t>
  </si>
  <si>
    <t>D000105</t>
  </si>
  <si>
    <t>156.96.135.18</t>
  </si>
  <si>
    <t>M089</t>
  </si>
  <si>
    <t>TX000654</t>
  </si>
  <si>
    <t>AC00423</t>
  </si>
  <si>
    <t>Portland</t>
  </si>
  <si>
    <t>D000191</t>
  </si>
  <si>
    <t>207.157.126.125</t>
  </si>
  <si>
    <t>M033</t>
  </si>
  <si>
    <t>TX000696</t>
  </si>
  <si>
    <t>AC00240</t>
  </si>
  <si>
    <t>72.192.101.196</t>
  </si>
  <si>
    <t>M055</t>
  </si>
  <si>
    <t>TX000726</t>
  </si>
  <si>
    <t>AC00067</t>
  </si>
  <si>
    <t>San Francisco</t>
  </si>
  <si>
    <t>D000251</t>
  </si>
  <si>
    <t>3.200.166.167</t>
  </si>
  <si>
    <t>M004</t>
  </si>
  <si>
    <t>TX000738</t>
  </si>
  <si>
    <t>AC00149</t>
  </si>
  <si>
    <t>M064</t>
  </si>
  <si>
    <t>TX000754</t>
  </si>
  <si>
    <t>AC00032</t>
  </si>
  <si>
    <t>D000676</t>
  </si>
  <si>
    <t>166.79.195.157</t>
  </si>
  <si>
    <t>M087</t>
  </si>
  <si>
    <t>TX000756</t>
  </si>
  <si>
    <t>AC00460</t>
  </si>
  <si>
    <t>Phoenix</t>
  </si>
  <si>
    <t>94.37.250.128</t>
  </si>
  <si>
    <t>TX000856</t>
  </si>
  <si>
    <t>AC00217</t>
  </si>
  <si>
    <t>D000674</t>
  </si>
  <si>
    <t>167.95.191.52</t>
  </si>
  <si>
    <t>TX000864</t>
  </si>
  <si>
    <t>AC00086</t>
  </si>
  <si>
    <t>Baltimore</t>
  </si>
  <si>
    <t>TX000879</t>
  </si>
  <si>
    <t>AC00366</t>
  </si>
  <si>
    <t>Los Angeles</t>
  </si>
  <si>
    <t>48.89.167.189</t>
  </si>
  <si>
    <t>M046</t>
  </si>
  <si>
    <t>TX000899</t>
  </si>
  <si>
    <t>AC00083</t>
  </si>
  <si>
    <t>D000319</t>
  </si>
  <si>
    <t>91.204.200.167</t>
  </si>
  <si>
    <t>M078</t>
  </si>
  <si>
    <t>TX000935</t>
  </si>
  <si>
    <t>AC00456</t>
  </si>
  <si>
    <t>San Jose</t>
  </si>
  <si>
    <t>D000294</t>
  </si>
  <si>
    <t>190.164.160.79</t>
  </si>
  <si>
    <t>TX001073</t>
  </si>
  <si>
    <t>AC00045</t>
  </si>
  <si>
    <t>138.210.196.19</t>
  </si>
  <si>
    <t>M081</t>
  </si>
  <si>
    <t>TX001076</t>
  </si>
  <si>
    <t>AC00078</t>
  </si>
  <si>
    <t>D000022</t>
  </si>
  <si>
    <t>40.45.69.120</t>
  </si>
  <si>
    <t>M054</t>
  </si>
  <si>
    <t>TX001078</t>
  </si>
  <si>
    <t>AC00331</t>
  </si>
  <si>
    <t>D000547</t>
  </si>
  <si>
    <t>199.103.32.145</t>
  </si>
  <si>
    <t>TX001134</t>
  </si>
  <si>
    <t>AC00095</t>
  </si>
  <si>
    <t>Louisville</t>
  </si>
  <si>
    <t>105.87.212.115</t>
  </si>
  <si>
    <t>TX001214</t>
  </si>
  <si>
    <t>AC00170</t>
  </si>
  <si>
    <t>D000174</t>
  </si>
  <si>
    <t>40.10.25.102</t>
  </si>
  <si>
    <t>M093</t>
  </si>
  <si>
    <t>TX001248</t>
  </si>
  <si>
    <t>AC00071</t>
  </si>
  <si>
    <t>D000593</t>
  </si>
  <si>
    <t>113.137.153.101</t>
  </si>
  <si>
    <t>M049</t>
  </si>
  <si>
    <t>TX001274</t>
  </si>
  <si>
    <t>AC00431</t>
  </si>
  <si>
    <t>D000216</t>
  </si>
  <si>
    <t>69.82.61.135</t>
  </si>
  <si>
    <t>M048</t>
  </si>
  <si>
    <t>TX001275</t>
  </si>
  <si>
    <t>AC00398</t>
  </si>
  <si>
    <t>TX001282</t>
  </si>
  <si>
    <t>AC00128</t>
  </si>
  <si>
    <t>D000117</t>
  </si>
  <si>
    <t>4.134.78.167</t>
  </si>
  <si>
    <t>M020</t>
  </si>
  <si>
    <t>TX001302</t>
  </si>
  <si>
    <t>AC00498</t>
  </si>
  <si>
    <t>M076</t>
  </si>
  <si>
    <t>TX001354</t>
  </si>
  <si>
    <t>AC00312</t>
  </si>
  <si>
    <t>TX001424</t>
  </si>
  <si>
    <t>AC00443</t>
  </si>
  <si>
    <t>TX001439</t>
  </si>
  <si>
    <t>AC00179</t>
  </si>
  <si>
    <t>TX001498</t>
  </si>
  <si>
    <t>AC00018</t>
  </si>
  <si>
    <t>63.191.171.41</t>
  </si>
  <si>
    <t>M034</t>
  </si>
  <si>
    <t>TX001591</t>
  </si>
  <si>
    <t>AC00172</t>
  </si>
  <si>
    <t>Atlanta</t>
  </si>
  <si>
    <t>TX001610</t>
  </si>
  <si>
    <t>AC00273</t>
  </si>
  <si>
    <t>Charlotte</t>
  </si>
  <si>
    <t>M075</t>
  </si>
  <si>
    <t>TX001626</t>
  </si>
  <si>
    <t>AC00220</t>
  </si>
  <si>
    <t>M096</t>
  </si>
  <si>
    <t>TX001635</t>
  </si>
  <si>
    <t>AC00358</t>
  </si>
  <si>
    <t>Memphis</t>
  </si>
  <si>
    <t>D000008</t>
  </si>
  <si>
    <t>26.105.49.129</t>
  </si>
  <si>
    <t>M066</t>
  </si>
  <si>
    <t>TX001673</t>
  </si>
  <si>
    <t>AC00344</t>
  </si>
  <si>
    <t>TX001704</t>
  </si>
  <si>
    <t>AC00205</t>
  </si>
  <si>
    <t>M026</t>
  </si>
  <si>
    <t>TX001707</t>
  </si>
  <si>
    <t>AC00048</t>
  </si>
  <si>
    <t>M030</t>
  </si>
  <si>
    <t>TX001735</t>
  </si>
  <si>
    <t>D000037</t>
  </si>
  <si>
    <t>45.64.74.86</t>
  </si>
  <si>
    <t>TX001760</t>
  </si>
  <si>
    <t>AC00010</t>
  </si>
  <si>
    <t>D000428</t>
  </si>
  <si>
    <t>74.58.165.67</t>
  </si>
  <si>
    <t>M016</t>
  </si>
  <si>
    <t>TX001789</t>
  </si>
  <si>
    <t>AC00338</t>
  </si>
  <si>
    <t>TX001797</t>
  </si>
  <si>
    <t>AC00146</t>
  </si>
  <si>
    <t>TX001903</t>
  </si>
  <si>
    <t>AC00336</t>
  </si>
  <si>
    <t>Philadelphia</t>
  </si>
  <si>
    <t>TX001918</t>
  </si>
  <si>
    <t>AC00382</t>
  </si>
  <si>
    <t>New York</t>
  </si>
  <si>
    <t>M086</t>
  </si>
  <si>
    <t>TX001953</t>
  </si>
  <si>
    <t>AC00350</t>
  </si>
  <si>
    <t>D000139</t>
  </si>
  <si>
    <t>182.84.41.229</t>
  </si>
  <si>
    <t>M092</t>
  </si>
  <si>
    <t>TX001968</t>
  </si>
  <si>
    <t>AC00203</t>
  </si>
  <si>
    <t>TX001973</t>
  </si>
  <si>
    <t>AC00480</t>
  </si>
  <si>
    <t>Boston</t>
  </si>
  <si>
    <t>M053</t>
  </si>
  <si>
    <t>TX001979</t>
  </si>
  <si>
    <t>AC00327</t>
  </si>
  <si>
    <t>Las Vegas</t>
  </si>
  <si>
    <t>TX001985</t>
  </si>
  <si>
    <t>AC00303</t>
  </si>
  <si>
    <t>TX001998</t>
  </si>
  <si>
    <t>AC00021</t>
  </si>
  <si>
    <t>M028</t>
  </si>
  <si>
    <t>TX002085</t>
  </si>
  <si>
    <t>AC00428</t>
  </si>
  <si>
    <t>135.73.131.111</t>
  </si>
  <si>
    <t>TX002087</t>
  </si>
  <si>
    <t>AC00029</t>
  </si>
  <si>
    <t>D000227</t>
  </si>
  <si>
    <t>71.93.189.160</t>
  </si>
  <si>
    <t>M068</t>
  </si>
  <si>
    <t>TX002092</t>
  </si>
  <si>
    <t>AC00228</t>
  </si>
  <si>
    <t>M042</t>
  </si>
  <si>
    <t>TX002098</t>
  </si>
  <si>
    <t>AC00251</t>
  </si>
  <si>
    <t>D000292</t>
  </si>
  <si>
    <t>TX002130</t>
  </si>
  <si>
    <t>AC00304</t>
  </si>
  <si>
    <t>97.4.209.133</t>
  </si>
  <si>
    <t>M006</t>
  </si>
  <si>
    <t>TX002150</t>
  </si>
  <si>
    <t>AC00110</t>
  </si>
  <si>
    <t>TX002195</t>
  </si>
  <si>
    <t>AC00418</t>
  </si>
  <si>
    <t>51.196.87.214</t>
  </si>
  <si>
    <t>M037</t>
  </si>
  <si>
    <t>TX002202</t>
  </si>
  <si>
    <t>AC00385</t>
  </si>
  <si>
    <t>D000490</t>
  </si>
  <si>
    <t>68.254.244.208</t>
  </si>
  <si>
    <t>TX002216</t>
  </si>
  <si>
    <t>AC00290</t>
  </si>
  <si>
    <t>166.41.54.117</t>
  </si>
  <si>
    <t>TX002228</t>
  </si>
  <si>
    <t>AC00291</t>
  </si>
  <si>
    <t>D000159</t>
  </si>
  <si>
    <t>TX002243</t>
  </si>
  <si>
    <t>AC00252</t>
  </si>
  <si>
    <t>TX002268</t>
  </si>
  <si>
    <t>AC00416</t>
  </si>
  <si>
    <t>Raleigh</t>
  </si>
  <si>
    <t>TX002273</t>
  </si>
  <si>
    <t>AC00268</t>
  </si>
  <si>
    <t>D000598</t>
  </si>
  <si>
    <t>34.169.232.37</t>
  </si>
  <si>
    <t>M088</t>
  </si>
  <si>
    <t>TX002277</t>
  </si>
  <si>
    <t>AC00093</t>
  </si>
  <si>
    <t>TX002293</t>
  </si>
  <si>
    <t>AC00388</t>
  </si>
  <si>
    <t>D000645</t>
  </si>
  <si>
    <t>TX002305</t>
  </si>
  <si>
    <t>AC00494</t>
  </si>
  <si>
    <t>M058</t>
  </si>
  <si>
    <t>TX002335</t>
  </si>
  <si>
    <t>AC00016</t>
  </si>
  <si>
    <t>41.82.55.163</t>
  </si>
  <si>
    <t>TX002343</t>
  </si>
  <si>
    <t>AC00420</t>
  </si>
  <si>
    <t>Albuquerque</t>
  </si>
  <si>
    <t>TX002381</t>
  </si>
  <si>
    <t>Virginia Beach</t>
  </si>
  <si>
    <t>TX002404</t>
  </si>
  <si>
    <t>AC00111</t>
  </si>
  <si>
    <t>D000344</t>
  </si>
  <si>
    <t>136.162.111.135</t>
  </si>
  <si>
    <t>TX002415</t>
  </si>
  <si>
    <t>AC00028</t>
  </si>
  <si>
    <t>D000072</t>
  </si>
  <si>
    <t>116.106.207.139</t>
  </si>
  <si>
    <t>Count</t>
  </si>
  <si>
    <t>TransactionCount</t>
  </si>
  <si>
    <t>AC00202</t>
  </si>
  <si>
    <t>AC00257</t>
  </si>
  <si>
    <t>AC00225</t>
  </si>
  <si>
    <t>AC00362</t>
  </si>
  <si>
    <t>TX000027</t>
  </si>
  <si>
    <t>AC00441</t>
  </si>
  <si>
    <t>D000046</t>
  </si>
  <si>
    <t>55.154.161.250</t>
  </si>
  <si>
    <t>M029</t>
  </si>
  <si>
    <t>TX000092</t>
  </si>
  <si>
    <t>AC00310</t>
  </si>
  <si>
    <t>D000481</t>
  </si>
  <si>
    <t>133.223.159.151</t>
  </si>
  <si>
    <t>TX000148</t>
  </si>
  <si>
    <t>D000109</t>
  </si>
  <si>
    <t>23.92.205.75</t>
  </si>
  <si>
    <t>M056</t>
  </si>
  <si>
    <t>TX000267</t>
  </si>
  <si>
    <t>AC00178</t>
  </si>
  <si>
    <t>D000221</t>
  </si>
  <si>
    <t>M021</t>
  </si>
  <si>
    <t>TX000395</t>
  </si>
  <si>
    <t>AC00326</t>
  </si>
  <si>
    <t>D000539</t>
  </si>
  <si>
    <t>210.160.90.52</t>
  </si>
  <si>
    <t>M017</t>
  </si>
  <si>
    <t>TX000401</t>
  </si>
  <si>
    <t>AC00145</t>
  </si>
  <si>
    <t>D000601</t>
  </si>
  <si>
    <t>148.234.210.167</t>
  </si>
  <si>
    <t>TX000415</t>
  </si>
  <si>
    <t>AC00495</t>
  </si>
  <si>
    <t>Dallas</t>
  </si>
  <si>
    <t>D000446</t>
  </si>
  <si>
    <t>34.92.221.183</t>
  </si>
  <si>
    <t>M100</t>
  </si>
  <si>
    <t>TX000455</t>
  </si>
  <si>
    <t>AC00264</t>
  </si>
  <si>
    <t>D000215</t>
  </si>
  <si>
    <t>141.201.46.191</t>
  </si>
  <si>
    <t>M045</t>
  </si>
  <si>
    <t>TX000464</t>
  </si>
  <si>
    <t>AC00417</t>
  </si>
  <si>
    <t>D000123</t>
  </si>
  <si>
    <t>84.237.126.96</t>
  </si>
  <si>
    <t>M014</t>
  </si>
  <si>
    <t>TX000492</t>
  </si>
  <si>
    <t>AC00318</t>
  </si>
  <si>
    <t>D000660</t>
  </si>
  <si>
    <t>60.89.202.192</t>
  </si>
  <si>
    <t>M023</t>
  </si>
  <si>
    <t>TX000509</t>
  </si>
  <si>
    <t>AC00353</t>
  </si>
  <si>
    <t>D000024</t>
  </si>
  <si>
    <t>154.138.163.229</t>
  </si>
  <si>
    <t>TX000548</t>
  </si>
  <si>
    <t>D000164</t>
  </si>
  <si>
    <t>221.206.44.63</t>
  </si>
  <si>
    <t>TX000552</t>
  </si>
  <si>
    <t>AC00465</t>
  </si>
  <si>
    <t>M098</t>
  </si>
  <si>
    <t>TX000589</t>
  </si>
  <si>
    <t>D000101</t>
  </si>
  <si>
    <t>38.210.156.148</t>
  </si>
  <si>
    <t>TX000595</t>
  </si>
  <si>
    <t>AC00051</t>
  </si>
  <si>
    <t>Milwaukee</t>
  </si>
  <si>
    <t>D000658</t>
  </si>
  <si>
    <t>TX000608</t>
  </si>
  <si>
    <t>AC00150</t>
  </si>
  <si>
    <t>4.101.189.38</t>
  </si>
  <si>
    <t>M022</t>
  </si>
  <si>
    <t>TX000666</t>
  </si>
  <si>
    <t>AC00393</t>
  </si>
  <si>
    <t>D000637</t>
  </si>
  <si>
    <t>40.244.94.218</t>
  </si>
  <si>
    <t>TX000670</t>
  </si>
  <si>
    <t>AC00023</t>
  </si>
  <si>
    <t>D000094</t>
  </si>
  <si>
    <t>9.230.41.239</t>
  </si>
  <si>
    <t>TX000686</t>
  </si>
  <si>
    <t>Mesa</t>
  </si>
  <si>
    <t>D000597</t>
  </si>
  <si>
    <t>90.111.245.138</t>
  </si>
  <si>
    <t>TX000692</t>
  </si>
  <si>
    <t>D000232</t>
  </si>
  <si>
    <t>42.219.228.159</t>
  </si>
  <si>
    <t>M003</t>
  </si>
  <si>
    <t>TX000694</t>
  </si>
  <si>
    <t>AC00011</t>
  </si>
  <si>
    <t>D000618</t>
  </si>
  <si>
    <t>16.51.235.240</t>
  </si>
  <si>
    <t>TX000773</t>
  </si>
  <si>
    <t>215.97.143.157</t>
  </si>
  <si>
    <t>M018</t>
  </si>
  <si>
    <t>TX000793</t>
  </si>
  <si>
    <t>AC00468</t>
  </si>
  <si>
    <t>D000112</t>
  </si>
  <si>
    <t>M007</t>
  </si>
  <si>
    <t>TX000808</t>
  </si>
  <si>
    <t>D000682</t>
  </si>
  <si>
    <t>184.59.28.72</t>
  </si>
  <si>
    <t>M019</t>
  </si>
  <si>
    <t>TX000838</t>
  </si>
  <si>
    <t>AC00169</t>
  </si>
  <si>
    <t>D000059</t>
  </si>
  <si>
    <t>TX000851</t>
  </si>
  <si>
    <t>AC00124</t>
  </si>
  <si>
    <t>D000079</t>
  </si>
  <si>
    <t>M027</t>
  </si>
  <si>
    <t>TX000910</t>
  </si>
  <si>
    <t>AC00438</t>
  </si>
  <si>
    <t>D000035</t>
  </si>
  <si>
    <t>184.146.10.88</t>
  </si>
  <si>
    <t>TX000917</t>
  </si>
  <si>
    <t>AC00272</t>
  </si>
  <si>
    <t>D000480</t>
  </si>
  <si>
    <t>219.193.239.152</t>
  </si>
  <si>
    <t>M065</t>
  </si>
  <si>
    <t>TX000933</t>
  </si>
  <si>
    <t>AC00200</t>
  </si>
  <si>
    <t>D000242</t>
  </si>
  <si>
    <t>200.22.195.243</t>
  </si>
  <si>
    <t>TX000954</t>
  </si>
  <si>
    <t>AC00187</t>
  </si>
  <si>
    <t>214.32.109.197</t>
  </si>
  <si>
    <t>TX000962</t>
  </si>
  <si>
    <t>AC00174</t>
  </si>
  <si>
    <t>D000311</t>
  </si>
  <si>
    <t>198.24.183.157</t>
  </si>
  <si>
    <t>TX001043</t>
  </si>
  <si>
    <t>AC00246</t>
  </si>
  <si>
    <t>D000552</t>
  </si>
  <si>
    <t>10.223.224.50</t>
  </si>
  <si>
    <t>TX001058</t>
  </si>
  <si>
    <t>AC00191</t>
  </si>
  <si>
    <t>D000182</t>
  </si>
  <si>
    <t>TX001122</t>
  </si>
  <si>
    <t>AC00426</t>
  </si>
  <si>
    <t>7.146.35.122</t>
  </si>
  <si>
    <t>TX001137</t>
  </si>
  <si>
    <t>D000160</t>
  </si>
  <si>
    <t>140.94.123.72</t>
  </si>
  <si>
    <t>TX001255</t>
  </si>
  <si>
    <t>AC00070</t>
  </si>
  <si>
    <t>D000416</t>
  </si>
  <si>
    <t>85.191.79.161</t>
  </si>
  <si>
    <t>TX001284</t>
  </si>
  <si>
    <t>AC00410</t>
  </si>
  <si>
    <t>D000255</t>
  </si>
  <si>
    <t>110.150.1.201</t>
  </si>
  <si>
    <t>TX001364</t>
  </si>
  <si>
    <t>AC00089</t>
  </si>
  <si>
    <t>D000359</t>
  </si>
  <si>
    <t>TX001558</t>
  </si>
  <si>
    <t>AC00245</t>
  </si>
  <si>
    <t>D000365</t>
  </si>
  <si>
    <t>172.184.35.29</t>
  </si>
  <si>
    <t>TX001585</t>
  </si>
  <si>
    <t>D000238</t>
  </si>
  <si>
    <t>161.161.26.115</t>
  </si>
  <si>
    <t>M010</t>
  </si>
  <si>
    <t>TX001619</t>
  </si>
  <si>
    <t>AC00305</t>
  </si>
  <si>
    <t>D000081</t>
  </si>
  <si>
    <t>119.163.214.161</t>
  </si>
  <si>
    <t>M097</t>
  </si>
  <si>
    <t>TX001689</t>
  </si>
  <si>
    <t>D000047</t>
  </si>
  <si>
    <t>159.37.30.154</t>
  </si>
  <si>
    <t>TX001732</t>
  </si>
  <si>
    <t>AC00333</t>
  </si>
  <si>
    <t>Chicago</t>
  </si>
  <si>
    <t>D000297</t>
  </si>
  <si>
    <t>162.58.247.55</t>
  </si>
  <si>
    <t>TX001734</t>
  </si>
  <si>
    <t>AC00108</t>
  </si>
  <si>
    <t>83.182.211.68</t>
  </si>
  <si>
    <t>TX001775</t>
  </si>
  <si>
    <t>D000409</t>
  </si>
  <si>
    <t>203.245.215.62</t>
  </si>
  <si>
    <t>TX001802</t>
  </si>
  <si>
    <t>Sacramento</t>
  </si>
  <si>
    <t>D000334</t>
  </si>
  <si>
    <t>200.164.13.160</t>
  </si>
  <si>
    <t>TX001877</t>
  </si>
  <si>
    <t>D000119</t>
  </si>
  <si>
    <t>100.137.90.188</t>
  </si>
  <si>
    <t>M079</t>
  </si>
  <si>
    <t>TX001885</t>
  </si>
  <si>
    <t>D000020</t>
  </si>
  <si>
    <t>TX001888</t>
  </si>
  <si>
    <t>AC00206</t>
  </si>
  <si>
    <t>D000320</t>
  </si>
  <si>
    <t>147.119.62.178</t>
  </si>
  <si>
    <t>TX001970</t>
  </si>
  <si>
    <t>AC00189</t>
  </si>
  <si>
    <t>D000163</t>
  </si>
  <si>
    <t>82.75.200.117</t>
  </si>
  <si>
    <t>M002</t>
  </si>
  <si>
    <t>TX002007</t>
  </si>
  <si>
    <t>AC00227</t>
  </si>
  <si>
    <t>114.223.129.47</t>
  </si>
  <si>
    <t>M008</t>
  </si>
  <si>
    <t>TX002054</t>
  </si>
  <si>
    <t>D000135</t>
  </si>
  <si>
    <t>M011</t>
  </si>
  <si>
    <t>TX002074</t>
  </si>
  <si>
    <t>92.180.81.50</t>
  </si>
  <si>
    <t>TX002125</t>
  </si>
  <si>
    <t>AC00039</t>
  </si>
  <si>
    <t>D000443</t>
  </si>
  <si>
    <t>202.194.199.70</t>
  </si>
  <si>
    <t>TX002160</t>
  </si>
  <si>
    <t>AC00216</t>
  </si>
  <si>
    <t>D000207</t>
  </si>
  <si>
    <t>TX002162</t>
  </si>
  <si>
    <t>AC00139</t>
  </si>
  <si>
    <t>D000531</t>
  </si>
  <si>
    <t>55.139.104.163</t>
  </si>
  <si>
    <t>TX002263</t>
  </si>
  <si>
    <t>AC00279</t>
  </si>
  <si>
    <t>D000606</t>
  </si>
  <si>
    <t>TX002289</t>
  </si>
  <si>
    <t>16.250.113.156</t>
  </si>
  <si>
    <t>M043</t>
  </si>
  <si>
    <t>TX002311</t>
  </si>
  <si>
    <t>AC00243</t>
  </si>
  <si>
    <t>D000333</t>
  </si>
  <si>
    <t>223.32.70.156</t>
  </si>
  <si>
    <t>TX002372</t>
  </si>
  <si>
    <t>M094</t>
  </si>
  <si>
    <t>TX002424</t>
  </si>
  <si>
    <t>AC00340</t>
  </si>
  <si>
    <t>Seattle</t>
  </si>
  <si>
    <t>D000380</t>
  </si>
  <si>
    <t>AC00455</t>
  </si>
  <si>
    <t>D000051</t>
  </si>
  <si>
    <t>65.164.3.100</t>
  </si>
  <si>
    <t>D000690</t>
  </si>
  <si>
    <t>24.148.92.177</t>
  </si>
  <si>
    <t>116.175.11.222</t>
  </si>
  <si>
    <t>TX000014</t>
  </si>
  <si>
    <t>D000054</t>
  </si>
  <si>
    <t>M025</t>
  </si>
  <si>
    <t>D000309</t>
  </si>
  <si>
    <t>AC00359</t>
  </si>
  <si>
    <t>M059</t>
  </si>
  <si>
    <t>120.170.93.69</t>
  </si>
  <si>
    <t>M039</t>
  </si>
  <si>
    <t>M040</t>
  </si>
  <si>
    <t>AC00014</t>
  </si>
  <si>
    <t>59.132.247.252</t>
  </si>
  <si>
    <t>M083</t>
  </si>
  <si>
    <t>AC00041</t>
  </si>
  <si>
    <t>81.248.235.147</t>
  </si>
  <si>
    <t>AC00313</t>
  </si>
  <si>
    <t>TX000034</t>
  </si>
  <si>
    <t>D000111</t>
  </si>
  <si>
    <t>134.140.85.231</t>
  </si>
  <si>
    <t>M044</t>
  </si>
  <si>
    <t>TX000049</t>
  </si>
  <si>
    <t>AC00296</t>
  </si>
  <si>
    <t>D000284</t>
  </si>
  <si>
    <t>93.146.251.20</t>
  </si>
  <si>
    <t>AC00471</t>
  </si>
  <si>
    <t>AC00115</t>
  </si>
  <si>
    <t>M095</t>
  </si>
  <si>
    <t>D000013</t>
  </si>
  <si>
    <t>81.102.230.41</t>
  </si>
  <si>
    <t>D000462</t>
  </si>
  <si>
    <t>D000145</t>
  </si>
  <si>
    <t>AC00427</t>
  </si>
  <si>
    <t>D000548</t>
  </si>
  <si>
    <t>D000128</t>
  </si>
  <si>
    <t>D000410</t>
  </si>
  <si>
    <t>D000073</t>
  </si>
  <si>
    <t>156.173.170.140</t>
  </si>
  <si>
    <t>D000363</t>
  </si>
  <si>
    <t>D000488</t>
  </si>
  <si>
    <t>AC00445</t>
  </si>
  <si>
    <t>167.104.180.235</t>
  </si>
  <si>
    <t>AC00373</t>
  </si>
  <si>
    <t>D000078</t>
  </si>
  <si>
    <t>TX000108</t>
  </si>
  <si>
    <t>AC00397</t>
  </si>
  <si>
    <t>D000028</t>
  </si>
  <si>
    <t>174.61.77.54</t>
  </si>
  <si>
    <t>TX000109</t>
  </si>
  <si>
    <t>D000518</t>
  </si>
  <si>
    <t>216.151.64.40</t>
  </si>
  <si>
    <t>D000469</t>
  </si>
  <si>
    <t>44.197.126.59</t>
  </si>
  <si>
    <t>Fresno</t>
  </si>
  <si>
    <t>M041</t>
  </si>
  <si>
    <t>AC00295</t>
  </si>
  <si>
    <t>TX000123</t>
  </si>
  <si>
    <t>AC00311</t>
  </si>
  <si>
    <t>D000314</t>
  </si>
  <si>
    <t>79.227.202.117</t>
  </si>
  <si>
    <t>AC00384</t>
  </si>
  <si>
    <t>D000052</t>
  </si>
  <si>
    <t>AC00177</t>
  </si>
  <si>
    <t>M085</t>
  </si>
  <si>
    <t>AC00087</t>
  </si>
  <si>
    <t>161.168.126.136</t>
  </si>
  <si>
    <t>TX000166</t>
  </si>
  <si>
    <t>AC00182</t>
  </si>
  <si>
    <t>D000371</t>
  </si>
  <si>
    <t>161.71.2.223</t>
  </si>
  <si>
    <t>D000666</t>
  </si>
  <si>
    <t>D000061</t>
  </si>
  <si>
    <t>TX000178</t>
  </si>
  <si>
    <t>D000424</t>
  </si>
  <si>
    <t>110.235.207.187</t>
  </si>
  <si>
    <t>177.116.108.246</t>
  </si>
  <si>
    <t>D000503</t>
  </si>
  <si>
    <t>D000414</t>
  </si>
  <si>
    <t>42.61.10.112</t>
  </si>
  <si>
    <t>TX000194</t>
  </si>
  <si>
    <t>AC00047</t>
  </si>
  <si>
    <t>D000538</t>
  </si>
  <si>
    <t>170.225.23.251</t>
  </si>
  <si>
    <t>AC00005</t>
  </si>
  <si>
    <t>M069</t>
  </si>
  <si>
    <t>M038</t>
  </si>
  <si>
    <t>AC00020</t>
  </si>
  <si>
    <t>M061</t>
  </si>
  <si>
    <t>AC00130</t>
  </si>
  <si>
    <t>D000248</t>
  </si>
  <si>
    <t>188.205.152.176</t>
  </si>
  <si>
    <t>TX000225</t>
  </si>
  <si>
    <t>AC00198</t>
  </si>
  <si>
    <t>D000315</t>
  </si>
  <si>
    <t>136.104.90.223</t>
  </si>
  <si>
    <t>TX000228</t>
  </si>
  <si>
    <t>80.92.209.207</t>
  </si>
  <si>
    <t>TX000230</t>
  </si>
  <si>
    <t>12.246.170.239</t>
  </si>
  <si>
    <t>161.25.82.11</t>
  </si>
  <si>
    <t>D000450</t>
  </si>
  <si>
    <t>M080</t>
  </si>
  <si>
    <t>AC00337</t>
  </si>
  <si>
    <t>TX000249</t>
  </si>
  <si>
    <t>AC00253</t>
  </si>
  <si>
    <t>D000209</t>
  </si>
  <si>
    <t>52.1.78.30</t>
  </si>
  <si>
    <t>TX000260</t>
  </si>
  <si>
    <t>AC00307</t>
  </si>
  <si>
    <t>201.114.165.141</t>
  </si>
  <si>
    <t>AC00448</t>
  </si>
  <si>
    <t>AC00009</t>
  </si>
  <si>
    <t>85.239.236.80</t>
  </si>
  <si>
    <t>AC00451</t>
  </si>
  <si>
    <t>162.207.77.170</t>
  </si>
  <si>
    <t>217.233.219.196</t>
  </si>
  <si>
    <t>89.6.100.149</t>
  </si>
  <si>
    <t>64.89.183.39</t>
  </si>
  <si>
    <t>AC00119</t>
  </si>
  <si>
    <t>150.83.4.238</t>
  </si>
  <si>
    <t>155.140.33.42</t>
  </si>
  <si>
    <t>M024</t>
  </si>
  <si>
    <t>D000151</t>
  </si>
  <si>
    <t>TX000318</t>
  </si>
  <si>
    <t>D000154</t>
  </si>
  <si>
    <t>D000351</t>
  </si>
  <si>
    <t>D000095</t>
  </si>
  <si>
    <t>TX000360</t>
  </si>
  <si>
    <t>AC00165</t>
  </si>
  <si>
    <t>D000686</t>
  </si>
  <si>
    <t>59.12.96.11</t>
  </si>
  <si>
    <t>D000016</t>
  </si>
  <si>
    <t>D000092</t>
  </si>
  <si>
    <t>64.57.44.102</t>
  </si>
  <si>
    <t>AC00322</t>
  </si>
  <si>
    <t>D000244</t>
  </si>
  <si>
    <t>AC00131</t>
  </si>
  <si>
    <t>D000445</t>
  </si>
  <si>
    <t>189.20.224.220</t>
  </si>
  <si>
    <t>TX000400</t>
  </si>
  <si>
    <t>220.179.173.114</t>
  </si>
  <si>
    <t>D000603</t>
  </si>
  <si>
    <t>AC00136</t>
  </si>
  <si>
    <t>D000137</t>
  </si>
  <si>
    <t>D000599</t>
  </si>
  <si>
    <t>30.92.249.132</t>
  </si>
  <si>
    <t>TX000429</t>
  </si>
  <si>
    <t>49.172.82.247</t>
  </si>
  <si>
    <t>AC00357</t>
  </si>
  <si>
    <t>32.71.250.58</t>
  </si>
  <si>
    <t>59.127.135.25</t>
  </si>
  <si>
    <t>25.188.196.47</t>
  </si>
  <si>
    <t>TX000450</t>
  </si>
  <si>
    <t>AC00407</t>
  </si>
  <si>
    <t>D000286</t>
  </si>
  <si>
    <t>TX000451</t>
  </si>
  <si>
    <t>D000031</t>
  </si>
  <si>
    <t>D000116</t>
  </si>
  <si>
    <t>D000181</t>
  </si>
  <si>
    <t>TX000473</t>
  </si>
  <si>
    <t>AC00213</t>
  </si>
  <si>
    <t>D000422</t>
  </si>
  <si>
    <t>TX000488</t>
  </si>
  <si>
    <t>D000667</t>
  </si>
  <si>
    <t>AC00256</t>
  </si>
  <si>
    <t>TX000496</t>
  </si>
  <si>
    <t>122.94.26.104</t>
  </si>
  <si>
    <t>148.112.151.27</t>
  </si>
  <si>
    <t>151.247.130.190</t>
  </si>
  <si>
    <t>100.198.165.4</t>
  </si>
  <si>
    <t>TX000526</t>
  </si>
  <si>
    <t>AC00183</t>
  </si>
  <si>
    <t>D000479</t>
  </si>
  <si>
    <t>64.15.0.66</t>
  </si>
  <si>
    <t>TX000541</t>
  </si>
  <si>
    <t>D000401</t>
  </si>
  <si>
    <t>TX000544</t>
  </si>
  <si>
    <t>D000677</t>
  </si>
  <si>
    <t>TX000549</t>
  </si>
  <si>
    <t>AC00356</t>
  </si>
  <si>
    <t>D000096</t>
  </si>
  <si>
    <t>TX000565</t>
  </si>
  <si>
    <t>AC00413</t>
  </si>
  <si>
    <t>AC00378</t>
  </si>
  <si>
    <t>D000560</t>
  </si>
  <si>
    <t>D000559</t>
  </si>
  <si>
    <t>11.167.243.171</t>
  </si>
  <si>
    <t>19.111.192.175</t>
  </si>
  <si>
    <t>TX000627</t>
  </si>
  <si>
    <t>D000196</t>
  </si>
  <si>
    <t>AC00458</t>
  </si>
  <si>
    <t>TX000664</t>
  </si>
  <si>
    <t>D000127</t>
  </si>
  <si>
    <t>191.25.177.160</t>
  </si>
  <si>
    <t>193.221.15.59</t>
  </si>
  <si>
    <t>35.246.53.10</t>
  </si>
  <si>
    <t>TX000695</t>
  </si>
  <si>
    <t>AC00432</t>
  </si>
  <si>
    <t>AC00297</t>
  </si>
  <si>
    <t>D000307</t>
  </si>
  <si>
    <t>D000384</t>
  </si>
  <si>
    <t>AC00244</t>
  </si>
  <si>
    <t>TX000731</t>
  </si>
  <si>
    <t>49.174.157.140</t>
  </si>
  <si>
    <t>66.255.7.16</t>
  </si>
  <si>
    <t>AC00324</t>
  </si>
  <si>
    <t>AC00050</t>
  </si>
  <si>
    <t>D000515</t>
  </si>
  <si>
    <t>D000133</t>
  </si>
  <si>
    <t>D000228</t>
  </si>
  <si>
    <t>AC00412</t>
  </si>
  <si>
    <t>D000138</t>
  </si>
  <si>
    <t>TX000871</t>
  </si>
  <si>
    <t>80.90.35.146</t>
  </si>
  <si>
    <t>TX000884</t>
  </si>
  <si>
    <t>146.53.16.47</t>
  </si>
  <si>
    <t>D000496</t>
  </si>
  <si>
    <t>AC00222</t>
  </si>
  <si>
    <t>D000033</t>
  </si>
  <si>
    <t>AC00224</t>
  </si>
  <si>
    <t>115.241.186.164</t>
  </si>
  <si>
    <t>116.43.88.219</t>
  </si>
  <si>
    <t>AC00496</t>
  </si>
  <si>
    <t>97.106.5.76</t>
  </si>
  <si>
    <t>AC00204</t>
  </si>
  <si>
    <t>TX001030</t>
  </si>
  <si>
    <t>D000057</t>
  </si>
  <si>
    <t>TX001040</t>
  </si>
  <si>
    <t>D000345</t>
  </si>
  <si>
    <t>D000202</t>
  </si>
  <si>
    <t>TX001069</t>
  </si>
  <si>
    <t>D000010</t>
  </si>
  <si>
    <t>TX001114</t>
  </si>
  <si>
    <t>TX001145</t>
  </si>
  <si>
    <t>AC00379</t>
  </si>
  <si>
    <t>TX001193</t>
  </si>
  <si>
    <t>D000659</t>
  </si>
  <si>
    <t>D000412</t>
  </si>
  <si>
    <t>TX001219</t>
  </si>
  <si>
    <t>144.228.168.6</t>
  </si>
  <si>
    <t>TX001234</t>
  </si>
  <si>
    <t>TX001239</t>
  </si>
  <si>
    <t>TX001256</t>
  </si>
  <si>
    <t>TX001259</t>
  </si>
  <si>
    <t>TX001269</t>
  </si>
  <si>
    <t>177.172.184.163</t>
  </si>
  <si>
    <t>TX001279</t>
  </si>
  <si>
    <t>TX001290</t>
  </si>
  <si>
    <t>AC00138</t>
  </si>
  <si>
    <t>TX001326</t>
  </si>
  <si>
    <t>TX001346</t>
  </si>
  <si>
    <t>TX001348</t>
  </si>
  <si>
    <t>150.25.200.56</t>
  </si>
  <si>
    <t>D000625</t>
  </si>
  <si>
    <t>TX001369</t>
  </si>
  <si>
    <t>D000361</t>
  </si>
  <si>
    <t>TX001389</t>
  </si>
  <si>
    <t>8.136.178.116</t>
  </si>
  <si>
    <t>TX001390</t>
  </si>
  <si>
    <t>AC00315</t>
  </si>
  <si>
    <t>TX001416</t>
  </si>
  <si>
    <t>TX001460</t>
  </si>
  <si>
    <t>TX001489</t>
  </si>
  <si>
    <t>TX001501</t>
  </si>
  <si>
    <t>TX001517</t>
  </si>
  <si>
    <t>TX001526</t>
  </si>
  <si>
    <t>TX001535</t>
  </si>
  <si>
    <t>216.79.134.201</t>
  </si>
  <si>
    <t>TX001538</t>
  </si>
  <si>
    <t>TX001551</t>
  </si>
  <si>
    <t>D000691</t>
  </si>
  <si>
    <t>27.93.195.98</t>
  </si>
  <si>
    <t>TX001576</t>
  </si>
  <si>
    <t>AC00081</t>
  </si>
  <si>
    <t>223.189.165.37</t>
  </si>
  <si>
    <t>TX001606</t>
  </si>
  <si>
    <t>TX001646</t>
  </si>
  <si>
    <t>TX001653</t>
  </si>
  <si>
    <t>D000594</t>
  </si>
  <si>
    <t>TX001697</t>
  </si>
  <si>
    <t>TX001708</t>
  </si>
  <si>
    <t>TX001738</t>
  </si>
  <si>
    <t>TX001755</t>
  </si>
  <si>
    <t>26.113.209.69</t>
  </si>
  <si>
    <t>TX001758</t>
  </si>
  <si>
    <t>129.108.48.116</t>
  </si>
  <si>
    <t>TX001768</t>
  </si>
  <si>
    <t>TX001779</t>
  </si>
  <si>
    <t>TX001792</t>
  </si>
  <si>
    <t>TX001842</t>
  </si>
  <si>
    <t>TX001858</t>
  </si>
  <si>
    <t>TX001982</t>
  </si>
  <si>
    <t>TX002023</t>
  </si>
  <si>
    <t>TX002026</t>
  </si>
  <si>
    <t>115.196.150.105</t>
  </si>
  <si>
    <t>TX002029</t>
  </si>
  <si>
    <t>D000390</t>
  </si>
  <si>
    <t>TX002093</t>
  </si>
  <si>
    <t>D000698</t>
  </si>
  <si>
    <t>TX002112</t>
  </si>
  <si>
    <t>TX002192</t>
  </si>
  <si>
    <t>TX002200</t>
  </si>
  <si>
    <t>TX002222</t>
  </si>
  <si>
    <t>TX002223</t>
  </si>
  <si>
    <t>TX002272</t>
  </si>
  <si>
    <t>D000342</t>
  </si>
  <si>
    <t>TX002274</t>
  </si>
  <si>
    <t>TX002278</t>
  </si>
  <si>
    <t>TX002284</t>
  </si>
  <si>
    <t>TX002360</t>
  </si>
  <si>
    <t>TX002367</t>
  </si>
  <si>
    <t>TX002383</t>
  </si>
  <si>
    <t>TX002389</t>
  </si>
  <si>
    <t>TX002447</t>
  </si>
  <si>
    <t>TX002454</t>
  </si>
  <si>
    <t>TX002471</t>
  </si>
  <si>
    <t>TX002509</t>
  </si>
  <si>
    <t>TX002512</t>
  </si>
  <si>
    <t>Risk score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</si>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</sst>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A398A16-79E5-40E1-898E-FD1AA478DBF4}" autoFormatId="16" applyNumberFormats="0" applyBorderFormats="0" applyFontFormats="0" applyPatternFormats="0" applyAlignmentFormats="0" applyWidthHeightFormats="0">
  <queryTableRefresh nextId="3">
    <queryTableFields count="2">
      <queryTableField id="1" name="CustomerAge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E2F4F87-F311-4761-A4EF-B33C422F8619}" autoFormatId="16" applyNumberFormats="0" applyBorderFormats="0" applyFontFormats="0" applyPatternFormats="0" applyAlignmentFormats="0" applyWidthHeightFormats="0">
  <queryTableRefresh nextId="20" unboundColumnsRight="2">
    <queryTableFields count="15">
      <queryTableField id="1" name="TransactionID" tableColumnId="1"/>
      <queryTableField id="2" name="AccountID" tableColumnId="2"/>
      <queryTableField id="3" name="TransactionAmount" tableColumnId="3"/>
      <queryTableField id="4" name="TransactionDate" tableColumnId="4"/>
      <queryTableField id="5" name="TransactionType" tableColumnId="5"/>
      <queryTableField id="6" name="Location" tableColumnId="6"/>
      <queryTableField id="10" name="Channel" tableColumnId="10"/>
      <queryTableField id="11" name="CustomerAge" tableColumnId="11"/>
      <queryTableField id="12" name="CustomerOccupation" tableColumnId="12"/>
      <queryTableField id="13" name="TransactionDuration" tableColumnId="13"/>
      <queryTableField id="14" name="LoginAttempts" tableColumnId="14"/>
      <queryTableField id="15" name="AccountBalance" tableColumnId="15"/>
      <queryTableField id="16" name="PreviousTransactionDate" tableColumnId="16"/>
      <queryTableField id="18" dataBound="0" tableColumnId="7"/>
      <queryTableField id="19" dataBound="0" tableColumnId="8"/>
    </queryTableFields>
    <queryTableDeletedFields count="3">
      <deletedField name="DeviceID"/>
      <deletedField name="IP_Address"/>
      <deletedField name="MerchantI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F3FF2BF-E5D2-46D1-8620-54B502653FA2}" autoFormatId="16" applyNumberFormats="0" applyBorderFormats="0" applyFontFormats="0" applyPatternFormats="0" applyAlignmentFormats="0" applyWidthHeightFormats="0">
  <queryTableRefresh nextId="3">
    <queryTableFields count="2">
      <queryTableField id="1" name="AccountID" tableColumnId="1"/>
      <queryTableField id="2" name="Transaction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8CA829B5-45DE-4DC8-8B70-70D7DCA8B12F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ID" tableColumnId="1"/>
      <queryTableField id="2" name="AccountID" tableColumnId="2"/>
      <queryTableField id="3" name="TransactionAmount" tableColumnId="3"/>
      <queryTableField id="4" name="TransactionDate" tableColumnId="4"/>
      <queryTableField id="5" name="TransactionType" tableColumnId="5"/>
      <queryTableField id="6" name="Location" tableColumnId="6"/>
      <queryTableField id="7" name="DeviceID" tableColumnId="7"/>
      <queryTableField id="8" name="IP_Address" tableColumnId="8"/>
      <queryTableField id="9" name="MerchantID" tableColumnId="9"/>
      <queryTableField id="10" name="Channel" tableColumnId="10"/>
      <queryTableField id="11" name="CustomerAge" tableColumnId="11"/>
      <queryTableField id="12" name="CustomerOccupation" tableColumnId="12"/>
      <queryTableField id="13" name="TransactionDuration" tableColumnId="13"/>
      <queryTableField id="14" name="LoginAttempts" tableColumnId="14"/>
      <queryTableField id="15" name="AccountBalance" tableColumnId="15"/>
      <queryTableField id="16" name="PreviousTransactionDate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2D49AD43-1F58-4C72-8DD0-DDB7FB7219BF}" autoFormatId="16" applyNumberFormats="0" applyBorderFormats="0" applyFontFormats="0" applyPatternFormats="0" applyAlignmentFormats="0" applyWidthHeightFormats="0">
  <queryTableRefresh nextId="3">
    <queryTableFields count="2">
      <queryTableField id="1" name="CustomerOccupation" tableColumnId="1"/>
      <queryTableField id="2" name="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B960CF0-50A3-4BE2-B51D-478ABDE86BC6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ID" tableColumnId="1"/>
      <queryTableField id="2" name="AccountID" tableColumnId="2"/>
      <queryTableField id="3" name="TransactionAmount" tableColumnId="3"/>
      <queryTableField id="4" name="TransactionDate" tableColumnId="4"/>
      <queryTableField id="5" name="TransactionType" tableColumnId="5"/>
      <queryTableField id="6" name="Location" tableColumnId="6"/>
      <queryTableField id="7" name="DeviceID" tableColumnId="7"/>
      <queryTableField id="8" name="IP_Address" tableColumnId="8"/>
      <queryTableField id="9" name="MerchantID" tableColumnId="9"/>
      <queryTableField id="10" name="Channel" tableColumnId="10"/>
      <queryTableField id="11" name="CustomerAge" tableColumnId="11"/>
      <queryTableField id="12" name="CustomerOccupation" tableColumnId="12"/>
      <queryTableField id="13" name="TransactionDuration" tableColumnId="13"/>
      <queryTableField id="14" name="LoginAttempts" tableColumnId="14"/>
      <queryTableField id="15" name="AccountBalance" tableColumnId="15"/>
      <queryTableField id="16" name="PreviousTransactionDate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D58ED06-5FAB-4B17-9AB5-C83A3E515C13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7B4411-D591-4C63-ABC1-9EFFC7C85EEF}" name="age_distribution__2" displayName="age_distribution__2" ref="A1:B64" tableType="queryTable" totalsRowShown="0">
  <autoFilter ref="A1:B64" xr:uid="{267B4411-D591-4C63-ABC1-9EFFC7C85EEF}"/>
  <tableColumns count="2">
    <tableColumn id="1" xr3:uid="{BCF6C23E-D5D1-47F3-838A-52CDB6CEF45A}" uniqueName="1" name="CustomerAge" queryTableFieldId="1"/>
    <tableColumn id="2" xr3:uid="{5501A051-5E5B-41B6-8CDD-42E35D9B200F}" uniqueName="2" name="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150ED-BF16-405C-BF0B-6822BDCC51C7}" name="high_risk_transaction" displayName="high_risk_transaction" ref="A1:O91" tableType="queryTable" totalsRowShown="0">
  <autoFilter ref="A1:O91" xr:uid="{E9D150ED-BF16-405C-BF0B-6822BDCC51C7}"/>
  <tableColumns count="15">
    <tableColumn id="1" xr3:uid="{70959E53-70F5-4637-9E3D-656AA1CA5F45}" uniqueName="1" name="TransactionID" queryTableFieldId="1" dataDxfId="9"/>
    <tableColumn id="2" xr3:uid="{75CF339D-BF8F-4E49-A8A2-4A6A6E9E7947}" uniqueName="2" name="AccountID" queryTableFieldId="2" dataDxfId="8"/>
    <tableColumn id="3" xr3:uid="{1AA7CBE1-FC4E-4E24-B843-0EC10AF10E65}" uniqueName="3" name="TransactionAmount" queryTableFieldId="3"/>
    <tableColumn id="4" xr3:uid="{EB55FD13-FDD4-42DC-B00D-662B3AE02649}" uniqueName="4" name="TransactionDate" queryTableFieldId="4" dataDxfId="7"/>
    <tableColumn id="5" xr3:uid="{D12967AE-FD7D-48A4-B50B-35B3B31B0A9A}" uniqueName="5" name="TransactionType" queryTableFieldId="5" dataDxfId="6"/>
    <tableColumn id="6" xr3:uid="{006C2311-8F50-43DB-84D6-66399266AAB1}" uniqueName="6" name="Location" queryTableFieldId="6" dataDxfId="5"/>
    <tableColumn id="10" xr3:uid="{BAB7E33F-F257-4619-A8C1-AC415C3A2463}" uniqueName="10" name="Channel" queryTableFieldId="10" dataDxfId="4"/>
    <tableColumn id="11" xr3:uid="{B6F95152-10A4-4175-BC32-51D7B0CCE495}" uniqueName="11" name="CustomerAge" queryTableFieldId="11"/>
    <tableColumn id="12" xr3:uid="{AF1ED139-93EB-49E0-8B0B-4F14802CB686}" uniqueName="12" name="CustomerOccupation" queryTableFieldId="12" dataDxfId="3"/>
    <tableColumn id="13" xr3:uid="{4A910F5B-1F63-4F4A-AF46-80FE0E0256DD}" uniqueName="13" name="TransactionDuration" queryTableFieldId="13"/>
    <tableColumn id="14" xr3:uid="{11387572-882E-45DA-826A-714370C02E62}" uniqueName="14" name="LoginAttempts" queryTableFieldId="14"/>
    <tableColumn id="15" xr3:uid="{7D0673E4-04A7-44FF-B02B-80CC15B6E422}" uniqueName="15" name="AccountBalance" queryTableFieldId="15"/>
    <tableColumn id="16" xr3:uid="{5940D5F2-7F0F-4E6F-966E-6F33D02CD6EC}" uniqueName="16" name="PreviousTransactionDate" queryTableFieldId="16" dataDxfId="2"/>
    <tableColumn id="7" xr3:uid="{0FFB3EE5-A451-48C6-8EA7-4088FB16F100}" uniqueName="7" name="Risk score" queryTableFieldId="18" dataDxfId="1">
      <calculatedColumnFormula>IF(C2&gt;100000,40,0)
+IF(J2&gt;120,30,0)
+IF(OR(G2="Online",G2="ATM"),20,0)
+IF(K2&gt;3,10,0)</calculatedColumnFormula>
    </tableColumn>
    <tableColumn id="8" xr3:uid="{112879B3-953C-41A4-8427-A646F6ADA6A4}" uniqueName="8" name="Column1" queryTableFieldId="19" dataDxfId="0">
      <calculatedColumnFormula>IF(L2&gt;=1000,"High Risk",
 IF(L2&gt;=500,"Medium Risk","Low Risk"))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D3ABB3-B430-4B2C-A6FF-B6467A03545B}" name="frequent_transaction" displayName="frequent_transaction" ref="A1:B10" tableType="queryTable" totalsRowShown="0">
  <autoFilter ref="A1:B10" xr:uid="{0CD3ABB3-B430-4B2C-A6FF-B6467A03545B}"/>
  <tableColumns count="2">
    <tableColumn id="1" xr3:uid="{72C234DB-1322-44D5-9AA8-4FA8DD449ACE}" uniqueName="1" name="AccountID" queryTableFieldId="1" dataDxfId="34"/>
    <tableColumn id="2" xr3:uid="{DAEA0F8F-FEA5-4FD0-B2D2-32637B3094E3}" uniqueName="2" name="Transaction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537761-8E2F-4663-9FA3-3ADD7CC1F543}" name="suspecious_transaction" displayName="suspecious_transaction" ref="A1:P139" tableType="queryTable" totalsRowShown="0">
  <autoFilter ref="A1:P139" xr:uid="{CE537761-8E2F-4663-9FA3-3ADD7CC1F543}"/>
  <tableColumns count="16">
    <tableColumn id="1" xr3:uid="{737785B1-9D8C-4B31-BF94-EB42C4DEFC66}" uniqueName="1" name="TransactionID" queryTableFieldId="1" dataDxfId="33"/>
    <tableColumn id="2" xr3:uid="{861F47B5-7DA8-4ECC-88C0-510DEB0CD4F2}" uniqueName="2" name="AccountID" queryTableFieldId="2" dataDxfId="32"/>
    <tableColumn id="3" xr3:uid="{D66D0F55-8D9C-4FE1-8836-57889EC4C93E}" uniqueName="3" name="TransactionAmount" queryTableFieldId="3"/>
    <tableColumn id="4" xr3:uid="{4D3AFEA4-D7E0-4A4C-BF4F-AF9336C3C8A1}" uniqueName="4" name="TransactionDate" queryTableFieldId="4" dataDxfId="31"/>
    <tableColumn id="5" xr3:uid="{A84C3DCA-1356-4265-9A51-9972B1306B59}" uniqueName="5" name="TransactionType" queryTableFieldId="5" dataDxfId="30"/>
    <tableColumn id="6" xr3:uid="{5EEF0CAD-FF1A-4D3D-8D5D-7AA411C3A75F}" uniqueName="6" name="Location" queryTableFieldId="6" dataDxfId="29"/>
    <tableColumn id="7" xr3:uid="{EB5BE51B-D178-4F35-8C85-09C0A8F5E397}" uniqueName="7" name="DeviceID" queryTableFieldId="7" dataDxfId="28"/>
    <tableColumn id="8" xr3:uid="{F9084BAA-4774-4D51-B003-58C64E80D0EE}" uniqueName="8" name="IP_Address" queryTableFieldId="8" dataDxfId="27"/>
    <tableColumn id="9" xr3:uid="{54526F4F-3021-43C6-89E1-A3B471D89C84}" uniqueName="9" name="MerchantID" queryTableFieldId="9" dataDxfId="26"/>
    <tableColumn id="10" xr3:uid="{4C7763E1-ADCB-4334-81E6-758D858593A2}" uniqueName="10" name="Channel" queryTableFieldId="10" dataDxfId="25"/>
    <tableColumn id="11" xr3:uid="{83AA1AC0-3F3D-4CBB-8AF7-DC4A8FE7D578}" uniqueName="11" name="CustomerAge" queryTableFieldId="11"/>
    <tableColumn id="12" xr3:uid="{829176E5-7531-4804-8853-7D153152871C}" uniqueName="12" name="CustomerOccupation" queryTableFieldId="12" dataDxfId="24"/>
    <tableColumn id="13" xr3:uid="{ECDF5BAD-16FF-4960-98B6-1BF612B35AC3}" uniqueName="13" name="TransactionDuration" queryTableFieldId="13"/>
    <tableColumn id="14" xr3:uid="{5F603C3B-CBAE-47A4-96B9-E9F8CB06BB8F}" uniqueName="14" name="LoginAttempts" queryTableFieldId="14"/>
    <tableColumn id="15" xr3:uid="{4FDC67D4-2586-43C2-B907-DE766A1D7E86}" uniqueName="15" name="AccountBalance" queryTableFieldId="15"/>
    <tableColumn id="16" xr3:uid="{052C1D2F-9EAB-4BBF-863A-0FAB09CEAC45}" uniqueName="16" name="PreviousTransactionDate" queryTableFieldId="16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E0BC3B-4C30-44EF-8128-A5B95EA1CC33}" name="occupation_analysis" displayName="occupation_analysis" ref="A1:B5" tableType="queryTable" totalsRowShown="0">
  <autoFilter ref="A1:B5" xr:uid="{71E0BC3B-4C30-44EF-8128-A5B95EA1CC33}"/>
  <tableColumns count="2">
    <tableColumn id="1" xr3:uid="{D209A10C-EDD2-4AD7-96C8-003EF6A2F67E}" uniqueName="1" name="CustomerOccupation" queryTableFieldId="1" dataDxfId="22"/>
    <tableColumn id="2" xr3:uid="{68D8F8EA-4858-4D3A-A03B-951F1BCDF0D2}" uniqueName="2" name="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C38CB8-A9D9-4825-82BB-14099D6B5988}" name="multiple_login_attempts" displayName="multiple_login_attempts" ref="A1:P65" tableType="queryTable" totalsRowShown="0">
  <autoFilter ref="A1:P65" xr:uid="{C3C38CB8-A9D9-4825-82BB-14099D6B5988}"/>
  <tableColumns count="16">
    <tableColumn id="1" xr3:uid="{9DA9AE9D-948F-410D-9EA6-71A04306A0D6}" uniqueName="1" name="TransactionID" queryTableFieldId="1" dataDxfId="21"/>
    <tableColumn id="2" xr3:uid="{CB212FEA-4B34-4632-BE93-96C5D1D0050E}" uniqueName="2" name="AccountID" queryTableFieldId="2" dataDxfId="20"/>
    <tableColumn id="3" xr3:uid="{7A246997-E7E1-445E-B18A-3D9062BBE563}" uniqueName="3" name="TransactionAmount" queryTableFieldId="3"/>
    <tableColumn id="4" xr3:uid="{253852CA-0794-47F7-814A-E3F05A65F55B}" uniqueName="4" name="TransactionDate" queryTableFieldId="4" dataDxfId="19"/>
    <tableColumn id="5" xr3:uid="{AFF52298-3F53-4A1A-A252-BE4D138A6F38}" uniqueName="5" name="TransactionType" queryTableFieldId="5" dataDxfId="18"/>
    <tableColumn id="6" xr3:uid="{8B788C8B-CA3F-4AF3-9F12-0CAD56DCB85E}" uniqueName="6" name="Location" queryTableFieldId="6" dataDxfId="17"/>
    <tableColumn id="7" xr3:uid="{9621A7B1-1D55-47E5-9B3E-93428BBF39F4}" uniqueName="7" name="DeviceID" queryTableFieldId="7" dataDxfId="16"/>
    <tableColumn id="8" xr3:uid="{A9198DD9-7FCE-455D-86F0-BCBD4C180166}" uniqueName="8" name="IP_Address" queryTableFieldId="8" dataDxfId="15"/>
    <tableColumn id="9" xr3:uid="{7FFEE327-1DCD-401A-A4F5-2BD2D9A45144}" uniqueName="9" name="MerchantID" queryTableFieldId="9" dataDxfId="14"/>
    <tableColumn id="10" xr3:uid="{AF82D896-1265-497E-BD5B-8BDCFF8ABDAE}" uniqueName="10" name="Channel" queryTableFieldId="10" dataDxfId="13"/>
    <tableColumn id="11" xr3:uid="{C0AF3C85-D26F-4667-ABEF-840F08278FF1}" uniqueName="11" name="CustomerAge" queryTableFieldId="11"/>
    <tableColumn id="12" xr3:uid="{8465299F-30E2-42B8-9603-4E5703F721A3}" uniqueName="12" name="CustomerOccupation" queryTableFieldId="12" dataDxfId="12"/>
    <tableColumn id="13" xr3:uid="{1F181752-1D88-4012-AF0E-99B01DD7E6E8}" uniqueName="13" name="TransactionDuration" queryTableFieldId="13"/>
    <tableColumn id="14" xr3:uid="{7EBC1F2B-662D-44DB-AF6B-3B13127F5867}" uniqueName="14" name="LoginAttempts" queryTableFieldId="14"/>
    <tableColumn id="15" xr3:uid="{C059BE26-48A3-4700-8722-B32B36485B79}" uniqueName="15" name="AccountBalance" queryTableFieldId="15"/>
    <tableColumn id="16" xr3:uid="{B4A6F946-A629-4075-8C53-5CD299F2CCB9}" uniqueName="16" name="PreviousTransactionDate" queryTableFieldId="16" dataDxf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73CE1D-A4EF-4608-8BEB-9F9AF6BC83C4}" name="channel_usage" displayName="channel_usage" ref="A1:B4" tableType="queryTable" totalsRowShown="0">
  <autoFilter ref="A1:B4" xr:uid="{0373CE1D-A4EF-4608-8BEB-9F9AF6BC83C4}"/>
  <tableColumns count="2">
    <tableColumn id="1" xr3:uid="{7F97C9AE-7B93-4345-82BB-73D73A6853AC}" uniqueName="1" name="Channel" queryTableFieldId="1" dataDxfId="10"/>
    <tableColumn id="2" xr3:uid="{76D1C5A7-A8B0-4400-86FA-CF878DB4FD8C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6AAE-C4C7-4FAA-97F0-2BEA2E36F971}">
  <dimension ref="A1:B64"/>
  <sheetViews>
    <sheetView workbookViewId="0">
      <selection activeCell="F22" sqref="F22"/>
    </sheetView>
  </sheetViews>
  <sheetFormatPr defaultRowHeight="14.4" x14ac:dyDescent="0.3"/>
  <cols>
    <col min="1" max="1" width="14.33203125" bestFit="1" customWidth="1"/>
    <col min="2" max="2" width="8.109375" bestFit="1" customWidth="1"/>
  </cols>
  <sheetData>
    <row r="1" spans="1:2" x14ac:dyDescent="0.3">
      <c r="A1" t="s">
        <v>10</v>
      </c>
      <c r="B1" t="s">
        <v>376</v>
      </c>
    </row>
    <row r="2" spans="1:2" x14ac:dyDescent="0.3">
      <c r="A2">
        <v>18</v>
      </c>
      <c r="B2">
        <v>56</v>
      </c>
    </row>
    <row r="3" spans="1:2" x14ac:dyDescent="0.3">
      <c r="A3">
        <v>19</v>
      </c>
      <c r="B3">
        <v>59</v>
      </c>
    </row>
    <row r="4" spans="1:2" x14ac:dyDescent="0.3">
      <c r="A4">
        <v>20</v>
      </c>
      <c r="B4">
        <v>55</v>
      </c>
    </row>
    <row r="5" spans="1:2" x14ac:dyDescent="0.3">
      <c r="A5">
        <v>21</v>
      </c>
      <c r="B5">
        <v>64</v>
      </c>
    </row>
    <row r="6" spans="1:2" x14ac:dyDescent="0.3">
      <c r="A6">
        <v>22</v>
      </c>
      <c r="B6">
        <v>60</v>
      </c>
    </row>
    <row r="7" spans="1:2" x14ac:dyDescent="0.3">
      <c r="A7">
        <v>23</v>
      </c>
      <c r="B7">
        <v>58</v>
      </c>
    </row>
    <row r="8" spans="1:2" x14ac:dyDescent="0.3">
      <c r="A8">
        <v>24</v>
      </c>
      <c r="B8">
        <v>50</v>
      </c>
    </row>
    <row r="9" spans="1:2" x14ac:dyDescent="0.3">
      <c r="A9">
        <v>25</v>
      </c>
      <c r="B9">
        <v>73</v>
      </c>
    </row>
    <row r="10" spans="1:2" x14ac:dyDescent="0.3">
      <c r="A10">
        <v>26</v>
      </c>
      <c r="B10">
        <v>86</v>
      </c>
    </row>
    <row r="11" spans="1:2" x14ac:dyDescent="0.3">
      <c r="A11">
        <v>27</v>
      </c>
      <c r="B11">
        <v>87</v>
      </c>
    </row>
    <row r="12" spans="1:2" x14ac:dyDescent="0.3">
      <c r="A12">
        <v>28</v>
      </c>
      <c r="B12">
        <v>68</v>
      </c>
    </row>
    <row r="13" spans="1:2" x14ac:dyDescent="0.3">
      <c r="A13">
        <v>29</v>
      </c>
      <c r="B13">
        <v>43</v>
      </c>
    </row>
    <row r="14" spans="1:2" x14ac:dyDescent="0.3">
      <c r="A14">
        <v>30</v>
      </c>
      <c r="B14">
        <v>38</v>
      </c>
    </row>
    <row r="15" spans="1:2" x14ac:dyDescent="0.3">
      <c r="A15">
        <v>31</v>
      </c>
      <c r="B15">
        <v>40</v>
      </c>
    </row>
    <row r="16" spans="1:2" x14ac:dyDescent="0.3">
      <c r="A16">
        <v>32</v>
      </c>
      <c r="B16">
        <v>32</v>
      </c>
    </row>
    <row r="17" spans="1:2" x14ac:dyDescent="0.3">
      <c r="A17">
        <v>33</v>
      </c>
      <c r="B17">
        <v>32</v>
      </c>
    </row>
    <row r="18" spans="1:2" x14ac:dyDescent="0.3">
      <c r="A18">
        <v>34</v>
      </c>
      <c r="B18">
        <v>35</v>
      </c>
    </row>
    <row r="19" spans="1:2" x14ac:dyDescent="0.3">
      <c r="A19">
        <v>35</v>
      </c>
      <c r="B19">
        <v>25</v>
      </c>
    </row>
    <row r="20" spans="1:2" x14ac:dyDescent="0.3">
      <c r="A20">
        <v>36</v>
      </c>
      <c r="B20">
        <v>35</v>
      </c>
    </row>
    <row r="21" spans="1:2" x14ac:dyDescent="0.3">
      <c r="A21">
        <v>37</v>
      </c>
      <c r="B21">
        <v>30</v>
      </c>
    </row>
    <row r="22" spans="1:2" x14ac:dyDescent="0.3">
      <c r="A22">
        <v>38</v>
      </c>
      <c r="B22">
        <v>22</v>
      </c>
    </row>
    <row r="23" spans="1:2" x14ac:dyDescent="0.3">
      <c r="A23">
        <v>39</v>
      </c>
      <c r="B23">
        <v>34</v>
      </c>
    </row>
    <row r="24" spans="1:2" x14ac:dyDescent="0.3">
      <c r="A24">
        <v>40</v>
      </c>
      <c r="B24">
        <v>30</v>
      </c>
    </row>
    <row r="25" spans="1:2" x14ac:dyDescent="0.3">
      <c r="A25">
        <v>41</v>
      </c>
      <c r="B25">
        <v>36</v>
      </c>
    </row>
    <row r="26" spans="1:2" x14ac:dyDescent="0.3">
      <c r="A26">
        <v>42</v>
      </c>
      <c r="B26">
        <v>33</v>
      </c>
    </row>
    <row r="27" spans="1:2" x14ac:dyDescent="0.3">
      <c r="A27">
        <v>43</v>
      </c>
      <c r="B27">
        <v>30</v>
      </c>
    </row>
    <row r="28" spans="1:2" x14ac:dyDescent="0.3">
      <c r="A28">
        <v>44</v>
      </c>
      <c r="B28">
        <v>27</v>
      </c>
    </row>
    <row r="29" spans="1:2" x14ac:dyDescent="0.3">
      <c r="A29">
        <v>45</v>
      </c>
      <c r="B29">
        <v>26</v>
      </c>
    </row>
    <row r="30" spans="1:2" x14ac:dyDescent="0.3">
      <c r="A30">
        <v>46</v>
      </c>
      <c r="B30">
        <v>38</v>
      </c>
    </row>
    <row r="31" spans="1:2" x14ac:dyDescent="0.3">
      <c r="A31">
        <v>47</v>
      </c>
      <c r="B31">
        <v>24</v>
      </c>
    </row>
    <row r="32" spans="1:2" x14ac:dyDescent="0.3">
      <c r="A32">
        <v>48</v>
      </c>
      <c r="B32">
        <v>37</v>
      </c>
    </row>
    <row r="33" spans="1:2" x14ac:dyDescent="0.3">
      <c r="A33">
        <v>49</v>
      </c>
      <c r="B33">
        <v>43</v>
      </c>
    </row>
    <row r="34" spans="1:2" x14ac:dyDescent="0.3">
      <c r="A34">
        <v>50</v>
      </c>
      <c r="B34">
        <v>29</v>
      </c>
    </row>
    <row r="35" spans="1:2" x14ac:dyDescent="0.3">
      <c r="A35">
        <v>51</v>
      </c>
      <c r="B35">
        <v>54</v>
      </c>
    </row>
    <row r="36" spans="1:2" x14ac:dyDescent="0.3">
      <c r="A36">
        <v>52</v>
      </c>
      <c r="B36">
        <v>44</v>
      </c>
    </row>
    <row r="37" spans="1:2" x14ac:dyDescent="0.3">
      <c r="A37">
        <v>53</v>
      </c>
      <c r="B37">
        <v>63</v>
      </c>
    </row>
    <row r="38" spans="1:2" x14ac:dyDescent="0.3">
      <c r="A38">
        <v>54</v>
      </c>
      <c r="B38">
        <v>48</v>
      </c>
    </row>
    <row r="39" spans="1:2" x14ac:dyDescent="0.3">
      <c r="A39">
        <v>55</v>
      </c>
      <c r="B39">
        <v>52</v>
      </c>
    </row>
    <row r="40" spans="1:2" x14ac:dyDescent="0.3">
      <c r="A40">
        <v>56</v>
      </c>
      <c r="B40">
        <v>44</v>
      </c>
    </row>
    <row r="41" spans="1:2" x14ac:dyDescent="0.3">
      <c r="A41">
        <v>57</v>
      </c>
      <c r="B41">
        <v>60</v>
      </c>
    </row>
    <row r="42" spans="1:2" x14ac:dyDescent="0.3">
      <c r="A42">
        <v>58</v>
      </c>
      <c r="B42">
        <v>55</v>
      </c>
    </row>
    <row r="43" spans="1:2" x14ac:dyDescent="0.3">
      <c r="A43">
        <v>59</v>
      </c>
      <c r="B43">
        <v>46</v>
      </c>
    </row>
    <row r="44" spans="1:2" x14ac:dyDescent="0.3">
      <c r="A44">
        <v>60</v>
      </c>
      <c r="B44">
        <v>48</v>
      </c>
    </row>
    <row r="45" spans="1:2" x14ac:dyDescent="0.3">
      <c r="A45">
        <v>61</v>
      </c>
      <c r="B45">
        <v>38</v>
      </c>
    </row>
    <row r="46" spans="1:2" x14ac:dyDescent="0.3">
      <c r="A46">
        <v>62</v>
      </c>
      <c r="B46">
        <v>41</v>
      </c>
    </row>
    <row r="47" spans="1:2" x14ac:dyDescent="0.3">
      <c r="A47">
        <v>63</v>
      </c>
      <c r="B47">
        <v>46</v>
      </c>
    </row>
    <row r="48" spans="1:2" x14ac:dyDescent="0.3">
      <c r="A48">
        <v>64</v>
      </c>
      <c r="B48">
        <v>42</v>
      </c>
    </row>
    <row r="49" spans="1:2" x14ac:dyDescent="0.3">
      <c r="A49">
        <v>65</v>
      </c>
      <c r="B49">
        <v>29</v>
      </c>
    </row>
    <row r="50" spans="1:2" x14ac:dyDescent="0.3">
      <c r="A50">
        <v>66</v>
      </c>
      <c r="B50">
        <v>26</v>
      </c>
    </row>
    <row r="51" spans="1:2" x14ac:dyDescent="0.3">
      <c r="A51">
        <v>67</v>
      </c>
      <c r="B51">
        <v>43</v>
      </c>
    </row>
    <row r="52" spans="1:2" x14ac:dyDescent="0.3">
      <c r="A52">
        <v>68</v>
      </c>
      <c r="B52">
        <v>47</v>
      </c>
    </row>
    <row r="53" spans="1:2" x14ac:dyDescent="0.3">
      <c r="A53">
        <v>69</v>
      </c>
      <c r="B53">
        <v>36</v>
      </c>
    </row>
    <row r="54" spans="1:2" x14ac:dyDescent="0.3">
      <c r="A54">
        <v>70</v>
      </c>
      <c r="B54">
        <v>19</v>
      </c>
    </row>
    <row r="55" spans="1:2" x14ac:dyDescent="0.3">
      <c r="A55">
        <v>71</v>
      </c>
      <c r="B55">
        <v>16</v>
      </c>
    </row>
    <row r="56" spans="1:2" x14ac:dyDescent="0.3">
      <c r="A56">
        <v>72</v>
      </c>
      <c r="B56">
        <v>22</v>
      </c>
    </row>
    <row r="57" spans="1:2" x14ac:dyDescent="0.3">
      <c r="A57">
        <v>73</v>
      </c>
      <c r="B57">
        <v>19</v>
      </c>
    </row>
    <row r="58" spans="1:2" x14ac:dyDescent="0.3">
      <c r="A58">
        <v>74</v>
      </c>
      <c r="B58">
        <v>16</v>
      </c>
    </row>
    <row r="59" spans="1:2" x14ac:dyDescent="0.3">
      <c r="A59">
        <v>75</v>
      </c>
      <c r="B59">
        <v>21</v>
      </c>
    </row>
    <row r="60" spans="1:2" x14ac:dyDescent="0.3">
      <c r="A60">
        <v>76</v>
      </c>
      <c r="B60">
        <v>21</v>
      </c>
    </row>
    <row r="61" spans="1:2" x14ac:dyDescent="0.3">
      <c r="A61">
        <v>77</v>
      </c>
      <c r="B61">
        <v>19</v>
      </c>
    </row>
    <row r="62" spans="1:2" x14ac:dyDescent="0.3">
      <c r="A62">
        <v>78</v>
      </c>
      <c r="B62">
        <v>22</v>
      </c>
    </row>
    <row r="63" spans="1:2" x14ac:dyDescent="0.3">
      <c r="A63">
        <v>79</v>
      </c>
      <c r="B63">
        <v>23</v>
      </c>
    </row>
    <row r="64" spans="1:2" x14ac:dyDescent="0.3">
      <c r="A64">
        <v>80</v>
      </c>
      <c r="B64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DD38-2982-4AF1-AE67-37CDAC8B837C}">
  <dimension ref="A1:O91"/>
  <sheetViews>
    <sheetView tabSelected="1" topLeftCell="D1" workbookViewId="0">
      <selection activeCell="O4" sqref="O4"/>
    </sheetView>
  </sheetViews>
  <sheetFormatPr defaultRowHeight="14.4" x14ac:dyDescent="0.3"/>
  <cols>
    <col min="1" max="1" width="14.6640625" bestFit="1" customWidth="1"/>
    <col min="2" max="2" width="11.77734375" bestFit="1" customWidth="1"/>
    <col min="3" max="3" width="19.5546875" bestFit="1" customWidth="1"/>
    <col min="4" max="5" width="16.88671875" bestFit="1" customWidth="1"/>
    <col min="6" max="6" width="14.6640625" bestFit="1" customWidth="1"/>
    <col min="7" max="7" width="10.6640625" bestFit="1" customWidth="1"/>
    <col min="8" max="8" width="14.77734375" bestFit="1" customWidth="1"/>
    <col min="9" max="9" width="12.77734375" bestFit="1" customWidth="1"/>
    <col min="10" max="10" width="18.44140625" customWidth="1"/>
    <col min="11" max="11" width="14.33203125" bestFit="1" customWidth="1"/>
    <col min="12" max="12" width="21.21875" bestFit="1" customWidth="1"/>
    <col min="13" max="13" width="20.21875" bestFit="1" customWidth="1"/>
    <col min="14" max="14" width="16.77734375" bestFit="1" customWidth="1"/>
    <col min="15" max="15" width="24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936</v>
      </c>
      <c r="O1" t="s">
        <v>937</v>
      </c>
    </row>
    <row r="2" spans="1:15" x14ac:dyDescent="0.3">
      <c r="A2" t="s">
        <v>16</v>
      </c>
      <c r="B2" t="s">
        <v>17</v>
      </c>
      <c r="C2">
        <v>1212.51</v>
      </c>
      <c r="D2" s="1">
        <v>45203.691666666666</v>
      </c>
      <c r="E2" t="s">
        <v>18</v>
      </c>
      <c r="F2" t="s">
        <v>19</v>
      </c>
      <c r="G2" t="s">
        <v>23</v>
      </c>
      <c r="H2">
        <v>20</v>
      </c>
      <c r="I2" t="s">
        <v>24</v>
      </c>
      <c r="J2">
        <v>24</v>
      </c>
      <c r="K2">
        <v>1</v>
      </c>
      <c r="L2">
        <v>605.95000000000005</v>
      </c>
      <c r="M2" s="1">
        <v>45600.337500000001</v>
      </c>
      <c r="N2">
        <f t="shared" ref="N2:N33" si="0">IF(C2&gt;100000,40,0)
+IF(J2&gt;120,30,0)
+IF(OR(G2="Online",G2="ATM"),20,0)
+IF(K2&gt;3,10,0)</f>
        <v>0</v>
      </c>
      <c r="O2" s="2" t="str">
        <f t="shared" ref="O2:O33" si="1">IF(L2&gt;=1000,"High Risk",
 IF(L2&gt;=500,"Medium Risk","Low Risk"))</f>
        <v>Medium Risk</v>
      </c>
    </row>
    <row r="3" spans="1:15" x14ac:dyDescent="0.3">
      <c r="A3" t="s">
        <v>25</v>
      </c>
      <c r="B3" t="s">
        <v>26</v>
      </c>
      <c r="C3">
        <v>1340.19</v>
      </c>
      <c r="D3" s="1">
        <v>45198.723611111112</v>
      </c>
      <c r="E3" t="s">
        <v>27</v>
      </c>
      <c r="F3" t="s">
        <v>28</v>
      </c>
      <c r="G3" t="s">
        <v>31</v>
      </c>
      <c r="H3">
        <v>54</v>
      </c>
      <c r="I3" t="s">
        <v>32</v>
      </c>
      <c r="J3">
        <v>30</v>
      </c>
      <c r="K3">
        <v>1</v>
      </c>
      <c r="L3">
        <v>8654.2800000000007</v>
      </c>
      <c r="M3" s="1">
        <v>45600.337500000001</v>
      </c>
      <c r="N3">
        <f t="shared" si="0"/>
        <v>20</v>
      </c>
      <c r="O3" s="2" t="str">
        <f t="shared" si="1"/>
        <v>High Risk</v>
      </c>
    </row>
    <row r="4" spans="1:15" x14ac:dyDescent="0.3">
      <c r="A4" t="s">
        <v>33</v>
      </c>
      <c r="B4" t="s">
        <v>34</v>
      </c>
      <c r="C4">
        <v>1045.22</v>
      </c>
      <c r="D4" s="1">
        <v>45252.675694444442</v>
      </c>
      <c r="E4" t="s">
        <v>18</v>
      </c>
      <c r="F4" t="s">
        <v>35</v>
      </c>
      <c r="G4" t="s">
        <v>39</v>
      </c>
      <c r="H4">
        <v>53</v>
      </c>
      <c r="I4" t="s">
        <v>40</v>
      </c>
      <c r="J4">
        <v>73</v>
      </c>
      <c r="K4">
        <v>1</v>
      </c>
      <c r="L4">
        <v>1829.9</v>
      </c>
      <c r="M4" s="1">
        <v>45600.338194444441</v>
      </c>
      <c r="N4">
        <f t="shared" si="0"/>
        <v>20</v>
      </c>
      <c r="O4" s="2" t="str">
        <f t="shared" si="1"/>
        <v>High Risk</v>
      </c>
    </row>
    <row r="5" spans="1:15" x14ac:dyDescent="0.3">
      <c r="A5" t="s">
        <v>41</v>
      </c>
      <c r="B5" t="s">
        <v>42</v>
      </c>
      <c r="C5">
        <v>1036.6600000000001</v>
      </c>
      <c r="D5" s="1">
        <v>45118.693749999999</v>
      </c>
      <c r="E5" t="s">
        <v>18</v>
      </c>
      <c r="F5" t="s">
        <v>43</v>
      </c>
      <c r="G5" t="s">
        <v>23</v>
      </c>
      <c r="H5">
        <v>58</v>
      </c>
      <c r="I5" t="s">
        <v>47</v>
      </c>
      <c r="J5">
        <v>144</v>
      </c>
      <c r="K5">
        <v>1</v>
      </c>
      <c r="L5">
        <v>5541.57</v>
      </c>
      <c r="M5" s="1">
        <v>45600.339583333334</v>
      </c>
      <c r="N5">
        <f t="shared" si="0"/>
        <v>30</v>
      </c>
      <c r="O5" s="2" t="str">
        <f t="shared" si="1"/>
        <v>High Risk</v>
      </c>
    </row>
    <row r="6" spans="1:15" x14ac:dyDescent="0.3">
      <c r="A6" t="s">
        <v>48</v>
      </c>
      <c r="B6" t="s">
        <v>49</v>
      </c>
      <c r="C6">
        <v>1049.92</v>
      </c>
      <c r="D6" s="1">
        <v>45222.701388888891</v>
      </c>
      <c r="E6" t="s">
        <v>18</v>
      </c>
      <c r="F6" t="s">
        <v>50</v>
      </c>
      <c r="G6" t="s">
        <v>39</v>
      </c>
      <c r="H6">
        <v>80</v>
      </c>
      <c r="I6" t="s">
        <v>40</v>
      </c>
      <c r="J6">
        <v>21</v>
      </c>
      <c r="K6">
        <v>1</v>
      </c>
      <c r="L6">
        <v>2037.85</v>
      </c>
      <c r="M6" s="1">
        <v>45600.340277777781</v>
      </c>
      <c r="N6">
        <f t="shared" si="0"/>
        <v>20</v>
      </c>
      <c r="O6" s="2" t="str">
        <f t="shared" si="1"/>
        <v>High Risk</v>
      </c>
    </row>
    <row r="7" spans="1:15" x14ac:dyDescent="0.3">
      <c r="A7" t="s">
        <v>52</v>
      </c>
      <c r="B7" t="s">
        <v>53</v>
      </c>
      <c r="C7">
        <v>1362.55</v>
      </c>
      <c r="D7" s="1">
        <v>44967.754861111112</v>
      </c>
      <c r="E7" t="s">
        <v>18</v>
      </c>
      <c r="F7" t="s">
        <v>54</v>
      </c>
      <c r="G7" t="s">
        <v>39</v>
      </c>
      <c r="H7">
        <v>29</v>
      </c>
      <c r="I7" t="s">
        <v>32</v>
      </c>
      <c r="J7">
        <v>106</v>
      </c>
      <c r="K7">
        <v>1</v>
      </c>
      <c r="L7">
        <v>2429.6799999999998</v>
      </c>
      <c r="M7" s="1">
        <v>45600.34097222222</v>
      </c>
      <c r="N7">
        <f t="shared" si="0"/>
        <v>20</v>
      </c>
      <c r="O7" s="2" t="str">
        <f t="shared" si="1"/>
        <v>High Risk</v>
      </c>
    </row>
    <row r="8" spans="1:15" x14ac:dyDescent="0.3">
      <c r="A8" t="s">
        <v>56</v>
      </c>
      <c r="B8" t="s">
        <v>57</v>
      </c>
      <c r="C8">
        <v>1041.8800000000001</v>
      </c>
      <c r="D8" s="1">
        <v>45175.697222222225</v>
      </c>
      <c r="E8" t="s">
        <v>18</v>
      </c>
      <c r="F8" t="s">
        <v>58</v>
      </c>
      <c r="G8" t="s">
        <v>31</v>
      </c>
      <c r="H8">
        <v>78</v>
      </c>
      <c r="I8" t="s">
        <v>40</v>
      </c>
      <c r="J8">
        <v>57</v>
      </c>
      <c r="K8">
        <v>1</v>
      </c>
      <c r="L8">
        <v>5726.2</v>
      </c>
      <c r="M8" s="1">
        <v>45600.337500000001</v>
      </c>
      <c r="N8">
        <f t="shared" si="0"/>
        <v>20</v>
      </c>
      <c r="O8" s="2" t="str">
        <f t="shared" si="1"/>
        <v>High Risk</v>
      </c>
    </row>
    <row r="9" spans="1:15" x14ac:dyDescent="0.3">
      <c r="A9" t="s">
        <v>61</v>
      </c>
      <c r="B9" t="s">
        <v>62</v>
      </c>
      <c r="C9">
        <v>1422.55</v>
      </c>
      <c r="D9" s="1">
        <v>45117.742361111108</v>
      </c>
      <c r="E9" t="s">
        <v>18</v>
      </c>
      <c r="F9" t="s">
        <v>63</v>
      </c>
      <c r="G9" t="s">
        <v>23</v>
      </c>
      <c r="H9">
        <v>79</v>
      </c>
      <c r="I9" t="s">
        <v>40</v>
      </c>
      <c r="J9">
        <v>165</v>
      </c>
      <c r="K9">
        <v>1</v>
      </c>
      <c r="L9">
        <v>5674.32</v>
      </c>
      <c r="M9" s="1">
        <v>45600.337500000001</v>
      </c>
      <c r="N9">
        <f t="shared" si="0"/>
        <v>30</v>
      </c>
      <c r="O9" s="2" t="str">
        <f t="shared" si="1"/>
        <v>High Risk</v>
      </c>
    </row>
    <row r="10" spans="1:15" x14ac:dyDescent="0.3">
      <c r="A10" t="s">
        <v>64</v>
      </c>
      <c r="B10" t="s">
        <v>65</v>
      </c>
      <c r="C10">
        <v>1176.28</v>
      </c>
      <c r="D10" s="1">
        <v>45280.672222222223</v>
      </c>
      <c r="E10" t="s">
        <v>27</v>
      </c>
      <c r="F10" t="s">
        <v>66</v>
      </c>
      <c r="G10" t="s">
        <v>39</v>
      </c>
      <c r="H10">
        <v>54</v>
      </c>
      <c r="I10" t="s">
        <v>32</v>
      </c>
      <c r="J10">
        <v>174</v>
      </c>
      <c r="K10">
        <v>5</v>
      </c>
      <c r="L10">
        <v>323.69</v>
      </c>
      <c r="M10" s="1">
        <v>45600.34097222222</v>
      </c>
      <c r="N10">
        <f t="shared" si="0"/>
        <v>60</v>
      </c>
      <c r="O10" s="2" t="str">
        <f t="shared" si="1"/>
        <v>Low Risk</v>
      </c>
    </row>
    <row r="11" spans="1:15" x14ac:dyDescent="0.3">
      <c r="A11" t="s">
        <v>70</v>
      </c>
      <c r="B11" t="s">
        <v>71</v>
      </c>
      <c r="C11">
        <v>1036.21</v>
      </c>
      <c r="D11" s="1">
        <v>45128.787499999999</v>
      </c>
      <c r="E11" t="s">
        <v>18</v>
      </c>
      <c r="F11" t="s">
        <v>72</v>
      </c>
      <c r="G11" t="s">
        <v>31</v>
      </c>
      <c r="H11">
        <v>25</v>
      </c>
      <c r="I11" t="s">
        <v>24</v>
      </c>
      <c r="J11">
        <v>126</v>
      </c>
      <c r="K11">
        <v>1</v>
      </c>
      <c r="L11">
        <v>477.3</v>
      </c>
      <c r="M11" s="1">
        <v>45600.341666666667</v>
      </c>
      <c r="N11">
        <f t="shared" si="0"/>
        <v>50</v>
      </c>
      <c r="O11" s="2" t="str">
        <f t="shared" si="1"/>
        <v>Low Risk</v>
      </c>
    </row>
    <row r="12" spans="1:15" x14ac:dyDescent="0.3">
      <c r="A12" t="s">
        <v>76</v>
      </c>
      <c r="B12" t="s">
        <v>77</v>
      </c>
      <c r="C12">
        <v>1221.6500000000001</v>
      </c>
      <c r="D12" s="1">
        <v>45196.704861111109</v>
      </c>
      <c r="E12" t="s">
        <v>18</v>
      </c>
      <c r="F12" t="s">
        <v>78</v>
      </c>
      <c r="G12" t="s">
        <v>31</v>
      </c>
      <c r="H12">
        <v>27</v>
      </c>
      <c r="I12" t="s">
        <v>24</v>
      </c>
      <c r="J12">
        <v>153</v>
      </c>
      <c r="K12">
        <v>1</v>
      </c>
      <c r="L12">
        <v>243.92</v>
      </c>
      <c r="M12" s="1">
        <v>45600.340277777781</v>
      </c>
      <c r="N12">
        <f t="shared" si="0"/>
        <v>50</v>
      </c>
      <c r="O12" s="2" t="str">
        <f t="shared" si="1"/>
        <v>Low Risk</v>
      </c>
    </row>
    <row r="13" spans="1:15" x14ac:dyDescent="0.3">
      <c r="A13" t="s">
        <v>82</v>
      </c>
      <c r="B13" t="s">
        <v>83</v>
      </c>
      <c r="C13">
        <v>1830</v>
      </c>
      <c r="D13" s="1">
        <v>44986.688194444447</v>
      </c>
      <c r="E13" t="s">
        <v>18</v>
      </c>
      <c r="F13" t="s">
        <v>43</v>
      </c>
      <c r="G13" t="s">
        <v>31</v>
      </c>
      <c r="H13">
        <v>55</v>
      </c>
      <c r="I13" t="s">
        <v>32</v>
      </c>
      <c r="J13">
        <v>238</v>
      </c>
      <c r="K13">
        <v>1</v>
      </c>
      <c r="L13">
        <v>2235.6999999999998</v>
      </c>
      <c r="M13" s="1">
        <v>45600.34097222222</v>
      </c>
      <c r="N13">
        <f t="shared" si="0"/>
        <v>50</v>
      </c>
      <c r="O13" s="2" t="str">
        <f t="shared" si="1"/>
        <v>High Risk</v>
      </c>
    </row>
    <row r="14" spans="1:15" x14ac:dyDescent="0.3">
      <c r="A14" t="s">
        <v>86</v>
      </c>
      <c r="B14" t="s">
        <v>87</v>
      </c>
      <c r="C14">
        <v>1271.9000000000001</v>
      </c>
      <c r="D14" s="1">
        <v>45166.696527777778</v>
      </c>
      <c r="E14" t="s">
        <v>18</v>
      </c>
      <c r="F14" t="s">
        <v>88</v>
      </c>
      <c r="G14" t="s">
        <v>39</v>
      </c>
      <c r="H14">
        <v>47</v>
      </c>
      <c r="I14" t="s">
        <v>32</v>
      </c>
      <c r="J14">
        <v>155</v>
      </c>
      <c r="K14">
        <v>1</v>
      </c>
      <c r="L14">
        <v>2120.8000000000002</v>
      </c>
      <c r="M14" s="1">
        <v>45600.339583333334</v>
      </c>
      <c r="N14">
        <f t="shared" si="0"/>
        <v>50</v>
      </c>
      <c r="O14" s="2" t="str">
        <f t="shared" si="1"/>
        <v>High Risk</v>
      </c>
    </row>
    <row r="15" spans="1:15" x14ac:dyDescent="0.3">
      <c r="A15" t="s">
        <v>90</v>
      </c>
      <c r="B15" t="s">
        <v>91</v>
      </c>
      <c r="C15">
        <v>1392.54</v>
      </c>
      <c r="D15" s="1">
        <v>45250.70208333333</v>
      </c>
      <c r="E15" t="s">
        <v>18</v>
      </c>
      <c r="F15" t="s">
        <v>54</v>
      </c>
      <c r="G15" t="s">
        <v>23</v>
      </c>
      <c r="H15">
        <v>41</v>
      </c>
      <c r="I15" t="s">
        <v>47</v>
      </c>
      <c r="J15">
        <v>297</v>
      </c>
      <c r="K15">
        <v>1</v>
      </c>
      <c r="L15">
        <v>13347.69</v>
      </c>
      <c r="M15" s="1">
        <v>45600.339583333334</v>
      </c>
      <c r="N15">
        <f t="shared" si="0"/>
        <v>30</v>
      </c>
      <c r="O15" s="2" t="str">
        <f t="shared" si="1"/>
        <v>High Risk</v>
      </c>
    </row>
    <row r="16" spans="1:15" x14ac:dyDescent="0.3">
      <c r="A16" t="s">
        <v>94</v>
      </c>
      <c r="B16" t="s">
        <v>95</v>
      </c>
      <c r="C16">
        <v>1096.7</v>
      </c>
      <c r="D16" s="1">
        <v>45012.70208333333</v>
      </c>
      <c r="E16" t="s">
        <v>18</v>
      </c>
      <c r="F16" t="s">
        <v>96</v>
      </c>
      <c r="G16" t="s">
        <v>31</v>
      </c>
      <c r="H16">
        <v>24</v>
      </c>
      <c r="I16" t="s">
        <v>24</v>
      </c>
      <c r="J16">
        <v>147</v>
      </c>
      <c r="K16">
        <v>1</v>
      </c>
      <c r="L16">
        <v>1093.8900000000001</v>
      </c>
      <c r="M16" s="1">
        <v>45600.34097222222</v>
      </c>
      <c r="N16">
        <f t="shared" si="0"/>
        <v>50</v>
      </c>
      <c r="O16" s="2" t="str">
        <f t="shared" si="1"/>
        <v>High Risk</v>
      </c>
    </row>
    <row r="17" spans="1:15" x14ac:dyDescent="0.3">
      <c r="A17" t="s">
        <v>100</v>
      </c>
      <c r="B17" t="s">
        <v>101</v>
      </c>
      <c r="C17">
        <v>1237.56</v>
      </c>
      <c r="D17" s="1">
        <v>45243.742361111108</v>
      </c>
      <c r="E17" t="s">
        <v>27</v>
      </c>
      <c r="F17" t="s">
        <v>28</v>
      </c>
      <c r="G17" t="s">
        <v>23</v>
      </c>
      <c r="H17">
        <v>60</v>
      </c>
      <c r="I17" t="s">
        <v>32</v>
      </c>
      <c r="J17">
        <v>159</v>
      </c>
      <c r="K17">
        <v>1</v>
      </c>
      <c r="L17">
        <v>9410.17</v>
      </c>
      <c r="M17" s="1">
        <v>45600.34097222222</v>
      </c>
      <c r="N17">
        <f t="shared" si="0"/>
        <v>30</v>
      </c>
      <c r="O17" s="2" t="str">
        <f t="shared" si="1"/>
        <v>High Risk</v>
      </c>
    </row>
    <row r="18" spans="1:15" x14ac:dyDescent="0.3">
      <c r="A18" t="s">
        <v>103</v>
      </c>
      <c r="B18" t="s">
        <v>104</v>
      </c>
      <c r="C18">
        <v>1431.3</v>
      </c>
      <c r="D18" s="1">
        <v>45173.781944444447</v>
      </c>
      <c r="E18" t="s">
        <v>18</v>
      </c>
      <c r="F18" t="s">
        <v>105</v>
      </c>
      <c r="G18" t="s">
        <v>39</v>
      </c>
      <c r="H18">
        <v>18</v>
      </c>
      <c r="I18" t="s">
        <v>24</v>
      </c>
      <c r="J18">
        <v>168</v>
      </c>
      <c r="K18">
        <v>1</v>
      </c>
      <c r="L18">
        <v>1058.1300000000001</v>
      </c>
      <c r="M18" s="1">
        <v>45600.34097222222</v>
      </c>
      <c r="N18">
        <f t="shared" si="0"/>
        <v>50</v>
      </c>
      <c r="O18" s="2" t="str">
        <f t="shared" si="1"/>
        <v>High Risk</v>
      </c>
    </row>
    <row r="19" spans="1:15" x14ac:dyDescent="0.3">
      <c r="A19" t="s">
        <v>108</v>
      </c>
      <c r="B19" t="s">
        <v>109</v>
      </c>
      <c r="C19">
        <v>1416.69</v>
      </c>
      <c r="D19" s="1">
        <v>44942.708333333336</v>
      </c>
      <c r="E19" t="s">
        <v>18</v>
      </c>
      <c r="F19" t="s">
        <v>110</v>
      </c>
      <c r="G19" t="s">
        <v>39</v>
      </c>
      <c r="H19">
        <v>46</v>
      </c>
      <c r="I19" t="s">
        <v>32</v>
      </c>
      <c r="J19">
        <v>58</v>
      </c>
      <c r="K19">
        <v>1</v>
      </c>
      <c r="L19">
        <v>3740.73</v>
      </c>
      <c r="M19" s="1">
        <v>45600.34097222222</v>
      </c>
      <c r="N19">
        <f t="shared" si="0"/>
        <v>20</v>
      </c>
      <c r="O19" s="2" t="str">
        <f t="shared" si="1"/>
        <v>High Risk</v>
      </c>
    </row>
    <row r="20" spans="1:15" x14ac:dyDescent="0.3">
      <c r="A20" t="s">
        <v>112</v>
      </c>
      <c r="B20" t="s">
        <v>113</v>
      </c>
      <c r="C20">
        <v>1116.48</v>
      </c>
      <c r="D20" s="1">
        <v>45187.738888888889</v>
      </c>
      <c r="E20" t="s">
        <v>18</v>
      </c>
      <c r="F20" t="s">
        <v>114</v>
      </c>
      <c r="G20" t="s">
        <v>39</v>
      </c>
      <c r="H20">
        <v>51</v>
      </c>
      <c r="I20" t="s">
        <v>32</v>
      </c>
      <c r="J20">
        <v>55</v>
      </c>
      <c r="K20">
        <v>1</v>
      </c>
      <c r="L20">
        <v>447.53</v>
      </c>
      <c r="M20" s="1">
        <v>45600.34097222222</v>
      </c>
      <c r="N20">
        <f t="shared" si="0"/>
        <v>20</v>
      </c>
      <c r="O20" s="2" t="str">
        <f t="shared" si="1"/>
        <v>Low Risk</v>
      </c>
    </row>
    <row r="21" spans="1:15" x14ac:dyDescent="0.3">
      <c r="A21" t="s">
        <v>118</v>
      </c>
      <c r="B21" t="s">
        <v>17</v>
      </c>
      <c r="C21">
        <v>1063.25</v>
      </c>
      <c r="D21" s="1">
        <v>44943.7</v>
      </c>
      <c r="E21" t="s">
        <v>27</v>
      </c>
      <c r="F21" t="s">
        <v>72</v>
      </c>
      <c r="G21" t="s">
        <v>31</v>
      </c>
      <c r="H21">
        <v>21</v>
      </c>
      <c r="I21" t="s">
        <v>24</v>
      </c>
      <c r="J21">
        <v>128</v>
      </c>
      <c r="K21">
        <v>1</v>
      </c>
      <c r="L21">
        <v>1240.71</v>
      </c>
      <c r="M21" s="1">
        <v>45600.338194444441</v>
      </c>
      <c r="N21">
        <f t="shared" si="0"/>
        <v>50</v>
      </c>
      <c r="O21" s="2" t="str">
        <f t="shared" si="1"/>
        <v>High Risk</v>
      </c>
    </row>
    <row r="22" spans="1:15" x14ac:dyDescent="0.3">
      <c r="A22" t="s">
        <v>121</v>
      </c>
      <c r="B22" t="s">
        <v>122</v>
      </c>
      <c r="C22">
        <v>1182.8599999999999</v>
      </c>
      <c r="D22" s="1">
        <v>45271.67083333333</v>
      </c>
      <c r="E22" t="s">
        <v>18</v>
      </c>
      <c r="F22" t="s">
        <v>123</v>
      </c>
      <c r="G22" t="s">
        <v>31</v>
      </c>
      <c r="H22">
        <v>30</v>
      </c>
      <c r="I22" t="s">
        <v>32</v>
      </c>
      <c r="J22">
        <v>34</v>
      </c>
      <c r="K22">
        <v>1</v>
      </c>
      <c r="L22">
        <v>7696.16</v>
      </c>
      <c r="M22" s="1">
        <v>45600.338888888888</v>
      </c>
      <c r="N22">
        <f t="shared" si="0"/>
        <v>20</v>
      </c>
      <c r="O22" s="2" t="str">
        <f t="shared" si="1"/>
        <v>High Risk</v>
      </c>
    </row>
    <row r="23" spans="1:15" x14ac:dyDescent="0.3">
      <c r="A23" t="s">
        <v>126</v>
      </c>
      <c r="B23" t="s">
        <v>127</v>
      </c>
      <c r="C23">
        <v>1282.8599999999999</v>
      </c>
      <c r="D23" s="1">
        <v>45061.702777777777</v>
      </c>
      <c r="E23" t="s">
        <v>18</v>
      </c>
      <c r="F23" t="s">
        <v>28</v>
      </c>
      <c r="G23" t="s">
        <v>23</v>
      </c>
      <c r="H23">
        <v>19</v>
      </c>
      <c r="I23" t="s">
        <v>24</v>
      </c>
      <c r="J23">
        <v>68</v>
      </c>
      <c r="K23">
        <v>1</v>
      </c>
      <c r="L23">
        <v>1830.98</v>
      </c>
      <c r="M23" s="1">
        <v>45600.338194444441</v>
      </c>
      <c r="N23">
        <f t="shared" si="0"/>
        <v>0</v>
      </c>
      <c r="O23" s="2" t="str">
        <f t="shared" si="1"/>
        <v>High Risk</v>
      </c>
    </row>
    <row r="24" spans="1:15" x14ac:dyDescent="0.3">
      <c r="A24" t="s">
        <v>129</v>
      </c>
      <c r="B24" t="s">
        <v>130</v>
      </c>
      <c r="C24">
        <v>1342.25</v>
      </c>
      <c r="D24" s="1">
        <v>45044.757638888892</v>
      </c>
      <c r="E24" t="s">
        <v>27</v>
      </c>
      <c r="F24" t="s">
        <v>131</v>
      </c>
      <c r="G24" t="s">
        <v>23</v>
      </c>
      <c r="H24">
        <v>21</v>
      </c>
      <c r="I24" t="s">
        <v>24</v>
      </c>
      <c r="J24">
        <v>235</v>
      </c>
      <c r="K24">
        <v>1</v>
      </c>
      <c r="L24">
        <v>694.03</v>
      </c>
      <c r="M24" s="1">
        <v>45600.338888888888</v>
      </c>
      <c r="N24">
        <f t="shared" si="0"/>
        <v>30</v>
      </c>
      <c r="O24" s="2" t="str">
        <f t="shared" si="1"/>
        <v>Medium Risk</v>
      </c>
    </row>
    <row r="25" spans="1:15" x14ac:dyDescent="0.3">
      <c r="A25" t="s">
        <v>134</v>
      </c>
      <c r="B25" t="s">
        <v>135</v>
      </c>
      <c r="C25">
        <v>1162.42</v>
      </c>
      <c r="D25" s="1">
        <v>45161.690972222219</v>
      </c>
      <c r="E25" t="s">
        <v>27</v>
      </c>
      <c r="F25" t="s">
        <v>50</v>
      </c>
      <c r="G25" t="s">
        <v>31</v>
      </c>
      <c r="H25">
        <v>30</v>
      </c>
      <c r="I25" t="s">
        <v>47</v>
      </c>
      <c r="J25">
        <v>45</v>
      </c>
      <c r="K25">
        <v>1</v>
      </c>
      <c r="L25">
        <v>10357.26</v>
      </c>
      <c r="M25" s="1">
        <v>45600.339583333334</v>
      </c>
      <c r="N25">
        <f t="shared" si="0"/>
        <v>20</v>
      </c>
      <c r="O25" s="2" t="str">
        <f t="shared" si="1"/>
        <v>High Risk</v>
      </c>
    </row>
    <row r="26" spans="1:15" x14ac:dyDescent="0.3">
      <c r="A26" t="s">
        <v>138</v>
      </c>
      <c r="B26" t="s">
        <v>139</v>
      </c>
      <c r="C26">
        <v>1241.05</v>
      </c>
      <c r="D26" s="1">
        <v>45251.68472222222</v>
      </c>
      <c r="E26" t="s">
        <v>18</v>
      </c>
      <c r="F26" t="s">
        <v>140</v>
      </c>
      <c r="G26" t="s">
        <v>23</v>
      </c>
      <c r="H26">
        <v>18</v>
      </c>
      <c r="I26" t="s">
        <v>24</v>
      </c>
      <c r="J26">
        <v>129</v>
      </c>
      <c r="K26">
        <v>1</v>
      </c>
      <c r="L26">
        <v>756.74</v>
      </c>
      <c r="M26" s="1">
        <v>45600.34097222222</v>
      </c>
      <c r="N26">
        <f t="shared" si="0"/>
        <v>30</v>
      </c>
      <c r="O26" s="2" t="str">
        <f t="shared" si="1"/>
        <v>Medium Risk</v>
      </c>
    </row>
    <row r="27" spans="1:15" x14ac:dyDescent="0.3">
      <c r="A27" t="s">
        <v>144</v>
      </c>
      <c r="B27" t="s">
        <v>145</v>
      </c>
      <c r="C27">
        <v>1919.11</v>
      </c>
      <c r="D27" s="1">
        <v>45104.741666666669</v>
      </c>
      <c r="E27" t="s">
        <v>18</v>
      </c>
      <c r="F27" t="s">
        <v>146</v>
      </c>
      <c r="G27" t="s">
        <v>39</v>
      </c>
      <c r="H27">
        <v>30</v>
      </c>
      <c r="I27" t="s">
        <v>47</v>
      </c>
      <c r="J27">
        <v>161</v>
      </c>
      <c r="K27">
        <v>1</v>
      </c>
      <c r="L27">
        <v>11090.24</v>
      </c>
      <c r="M27" s="1">
        <v>45600.340277777781</v>
      </c>
      <c r="N27">
        <f t="shared" si="0"/>
        <v>50</v>
      </c>
      <c r="O27" s="2" t="str">
        <f t="shared" si="1"/>
        <v>High Risk</v>
      </c>
    </row>
    <row r="28" spans="1:15" x14ac:dyDescent="0.3">
      <c r="A28" t="s">
        <v>150</v>
      </c>
      <c r="B28" t="s">
        <v>151</v>
      </c>
      <c r="C28">
        <v>1151.18</v>
      </c>
      <c r="D28" s="1">
        <v>45163.726388888892</v>
      </c>
      <c r="E28" t="s">
        <v>18</v>
      </c>
      <c r="F28" t="s">
        <v>66</v>
      </c>
      <c r="G28" t="s">
        <v>39</v>
      </c>
      <c r="H28">
        <v>65</v>
      </c>
      <c r="I28" t="s">
        <v>47</v>
      </c>
      <c r="J28">
        <v>105</v>
      </c>
      <c r="K28">
        <v>1</v>
      </c>
      <c r="L28">
        <v>1100.06</v>
      </c>
      <c r="M28" s="1">
        <v>45600.338194444441</v>
      </c>
      <c r="N28">
        <f t="shared" si="0"/>
        <v>20</v>
      </c>
      <c r="O28" s="2" t="str">
        <f t="shared" si="1"/>
        <v>High Risk</v>
      </c>
    </row>
    <row r="29" spans="1:15" x14ac:dyDescent="0.3">
      <c r="A29" t="s">
        <v>154</v>
      </c>
      <c r="B29" t="s">
        <v>155</v>
      </c>
      <c r="C29">
        <v>1309.79</v>
      </c>
      <c r="D29" s="1">
        <v>44991.689583333333</v>
      </c>
      <c r="E29" t="s">
        <v>18</v>
      </c>
      <c r="F29" t="s">
        <v>156</v>
      </c>
      <c r="G29" t="s">
        <v>39</v>
      </c>
      <c r="H29">
        <v>23</v>
      </c>
      <c r="I29" t="s">
        <v>24</v>
      </c>
      <c r="J29">
        <v>139</v>
      </c>
      <c r="K29">
        <v>1</v>
      </c>
      <c r="L29">
        <v>1258.93</v>
      </c>
      <c r="M29" s="1">
        <v>45600.34097222222</v>
      </c>
      <c r="N29">
        <f t="shared" si="0"/>
        <v>50</v>
      </c>
      <c r="O29" s="2" t="str">
        <f t="shared" si="1"/>
        <v>High Risk</v>
      </c>
    </row>
    <row r="30" spans="1:15" x14ac:dyDescent="0.3">
      <c r="A30" t="s">
        <v>160</v>
      </c>
      <c r="B30" t="s">
        <v>161</v>
      </c>
      <c r="C30">
        <v>1092.73</v>
      </c>
      <c r="D30" s="1">
        <v>44949.724999999999</v>
      </c>
      <c r="E30" t="s">
        <v>18</v>
      </c>
      <c r="F30" t="s">
        <v>35</v>
      </c>
      <c r="G30" t="s">
        <v>23</v>
      </c>
      <c r="H30">
        <v>58</v>
      </c>
      <c r="I30" t="s">
        <v>40</v>
      </c>
      <c r="J30">
        <v>11</v>
      </c>
      <c r="K30">
        <v>1</v>
      </c>
      <c r="L30">
        <v>1390.98</v>
      </c>
      <c r="M30" s="1">
        <v>45600.338194444441</v>
      </c>
      <c r="N30">
        <f t="shared" si="0"/>
        <v>0</v>
      </c>
      <c r="O30" s="2" t="str">
        <f t="shared" si="1"/>
        <v>High Risk</v>
      </c>
    </row>
    <row r="31" spans="1:15" x14ac:dyDescent="0.3">
      <c r="A31" t="s">
        <v>163</v>
      </c>
      <c r="B31" t="s">
        <v>164</v>
      </c>
      <c r="C31">
        <v>1020.73</v>
      </c>
      <c r="D31" s="1">
        <v>45131.695833333331</v>
      </c>
      <c r="E31" t="s">
        <v>18</v>
      </c>
      <c r="F31" t="s">
        <v>131</v>
      </c>
      <c r="G31" t="s">
        <v>39</v>
      </c>
      <c r="H31">
        <v>28</v>
      </c>
      <c r="I31" t="s">
        <v>24</v>
      </c>
      <c r="J31">
        <v>87</v>
      </c>
      <c r="K31">
        <v>1</v>
      </c>
      <c r="L31">
        <v>1119.6099999999999</v>
      </c>
      <c r="M31" s="1">
        <v>45600.34097222222</v>
      </c>
      <c r="N31">
        <f t="shared" si="0"/>
        <v>20</v>
      </c>
      <c r="O31" s="2" t="str">
        <f t="shared" si="1"/>
        <v>High Risk</v>
      </c>
    </row>
    <row r="32" spans="1:15" x14ac:dyDescent="0.3">
      <c r="A32" t="s">
        <v>168</v>
      </c>
      <c r="B32" t="s">
        <v>169</v>
      </c>
      <c r="C32">
        <v>1607.55</v>
      </c>
      <c r="D32" s="1">
        <v>45176.685416666667</v>
      </c>
      <c r="E32" t="s">
        <v>18</v>
      </c>
      <c r="F32" t="s">
        <v>170</v>
      </c>
      <c r="G32" t="s">
        <v>39</v>
      </c>
      <c r="H32">
        <v>31</v>
      </c>
      <c r="I32" t="s">
        <v>32</v>
      </c>
      <c r="J32">
        <v>156</v>
      </c>
      <c r="K32">
        <v>1</v>
      </c>
      <c r="L32">
        <v>6227.99</v>
      </c>
      <c r="M32" s="1">
        <v>45600.338194444441</v>
      </c>
      <c r="N32">
        <f t="shared" si="0"/>
        <v>50</v>
      </c>
      <c r="O32" s="2" t="str">
        <f t="shared" si="1"/>
        <v>High Risk</v>
      </c>
    </row>
    <row r="33" spans="1:15" x14ac:dyDescent="0.3">
      <c r="A33" t="s">
        <v>172</v>
      </c>
      <c r="B33" t="s">
        <v>173</v>
      </c>
      <c r="C33">
        <v>1074.95</v>
      </c>
      <c r="D33" s="1">
        <v>45079.700694444444</v>
      </c>
      <c r="E33" t="s">
        <v>18</v>
      </c>
      <c r="F33" t="s">
        <v>58</v>
      </c>
      <c r="G33" t="s">
        <v>23</v>
      </c>
      <c r="H33">
        <v>20</v>
      </c>
      <c r="I33" t="s">
        <v>24</v>
      </c>
      <c r="J33">
        <v>91</v>
      </c>
      <c r="K33">
        <v>1</v>
      </c>
      <c r="L33">
        <v>530.86</v>
      </c>
      <c r="M33" s="1">
        <v>45600.339583333334</v>
      </c>
      <c r="N33">
        <f t="shared" si="0"/>
        <v>0</v>
      </c>
      <c r="O33" s="2" t="str">
        <f t="shared" si="1"/>
        <v>Medium Risk</v>
      </c>
    </row>
    <row r="34" spans="1:15" x14ac:dyDescent="0.3">
      <c r="A34" t="s">
        <v>176</v>
      </c>
      <c r="B34" t="s">
        <v>177</v>
      </c>
      <c r="C34">
        <v>1137.6300000000001</v>
      </c>
      <c r="D34" s="1">
        <v>44971.704861111109</v>
      </c>
      <c r="E34" t="s">
        <v>18</v>
      </c>
      <c r="F34" t="s">
        <v>178</v>
      </c>
      <c r="G34" t="s">
        <v>39</v>
      </c>
      <c r="H34">
        <v>26</v>
      </c>
      <c r="I34" t="s">
        <v>24</v>
      </c>
      <c r="J34">
        <v>144</v>
      </c>
      <c r="K34">
        <v>1</v>
      </c>
      <c r="L34">
        <v>1629.12</v>
      </c>
      <c r="M34" s="1">
        <v>45600.338888888888</v>
      </c>
      <c r="N34">
        <f t="shared" ref="N34:N65" si="2">IF(C34&gt;100000,40,0)
+IF(J34&gt;120,30,0)
+IF(OR(G34="Online",G34="ATM"),20,0)
+IF(K34&gt;3,10,0)</f>
        <v>50</v>
      </c>
      <c r="O34" s="2" t="str">
        <f t="shared" ref="O34:O65" si="3">IF(L34&gt;=1000,"High Risk",
 IF(L34&gt;=500,"Medium Risk","Low Risk"))</f>
        <v>High Risk</v>
      </c>
    </row>
    <row r="35" spans="1:15" x14ac:dyDescent="0.3">
      <c r="A35" t="s">
        <v>179</v>
      </c>
      <c r="B35" t="s">
        <v>180</v>
      </c>
      <c r="C35">
        <v>1108.46</v>
      </c>
      <c r="D35" s="1">
        <v>45169.677777777775</v>
      </c>
      <c r="E35" t="s">
        <v>18</v>
      </c>
      <c r="F35" t="s">
        <v>181</v>
      </c>
      <c r="G35" t="s">
        <v>23</v>
      </c>
      <c r="H35">
        <v>30</v>
      </c>
      <c r="I35" t="s">
        <v>32</v>
      </c>
      <c r="J35">
        <v>262</v>
      </c>
      <c r="K35">
        <v>1</v>
      </c>
      <c r="L35">
        <v>9257.0400000000009</v>
      </c>
      <c r="M35" s="1">
        <v>45600.337500000001</v>
      </c>
      <c r="N35">
        <f t="shared" si="2"/>
        <v>30</v>
      </c>
      <c r="O35" s="2" t="str">
        <f t="shared" si="3"/>
        <v>High Risk</v>
      </c>
    </row>
    <row r="36" spans="1:15" x14ac:dyDescent="0.3">
      <c r="A36" t="s">
        <v>184</v>
      </c>
      <c r="B36" t="s">
        <v>185</v>
      </c>
      <c r="C36">
        <v>1531.31</v>
      </c>
      <c r="D36" s="1">
        <v>45222.75</v>
      </c>
      <c r="E36" t="s">
        <v>18</v>
      </c>
      <c r="F36" t="s">
        <v>114</v>
      </c>
      <c r="G36" t="s">
        <v>31</v>
      </c>
      <c r="H36">
        <v>18</v>
      </c>
      <c r="I36" t="s">
        <v>24</v>
      </c>
      <c r="J36">
        <v>62</v>
      </c>
      <c r="K36">
        <v>4</v>
      </c>
      <c r="L36">
        <v>859.86</v>
      </c>
      <c r="M36" s="1">
        <v>45600.337500000001</v>
      </c>
      <c r="N36">
        <f t="shared" si="2"/>
        <v>30</v>
      </c>
      <c r="O36" s="2" t="str">
        <f t="shared" si="3"/>
        <v>Medium Risk</v>
      </c>
    </row>
    <row r="37" spans="1:15" x14ac:dyDescent="0.3">
      <c r="A37" t="s">
        <v>189</v>
      </c>
      <c r="B37" t="s">
        <v>190</v>
      </c>
      <c r="C37">
        <v>1022.75</v>
      </c>
      <c r="D37" s="1">
        <v>44945.697916666664</v>
      </c>
      <c r="E37" t="s">
        <v>27</v>
      </c>
      <c r="F37" t="s">
        <v>191</v>
      </c>
      <c r="G37" t="s">
        <v>23</v>
      </c>
      <c r="H37">
        <v>62</v>
      </c>
      <c r="I37" t="s">
        <v>47</v>
      </c>
      <c r="J37">
        <v>158</v>
      </c>
      <c r="K37">
        <v>1</v>
      </c>
      <c r="L37">
        <v>207.74</v>
      </c>
      <c r="M37" s="1">
        <v>45600.340277777781</v>
      </c>
      <c r="N37">
        <f t="shared" si="2"/>
        <v>30</v>
      </c>
      <c r="O37" s="2" t="str">
        <f t="shared" si="3"/>
        <v>Low Risk</v>
      </c>
    </row>
    <row r="38" spans="1:15" x14ac:dyDescent="0.3">
      <c r="A38" t="s">
        <v>194</v>
      </c>
      <c r="B38" t="s">
        <v>195</v>
      </c>
      <c r="C38">
        <v>1074.29</v>
      </c>
      <c r="D38" s="1">
        <v>44931.696527777778</v>
      </c>
      <c r="E38" t="s">
        <v>18</v>
      </c>
      <c r="F38" t="s">
        <v>146</v>
      </c>
      <c r="G38" t="s">
        <v>23</v>
      </c>
      <c r="H38">
        <v>67</v>
      </c>
      <c r="I38" t="s">
        <v>40</v>
      </c>
      <c r="J38">
        <v>79</v>
      </c>
      <c r="K38">
        <v>1</v>
      </c>
      <c r="L38">
        <v>2011.6</v>
      </c>
      <c r="M38" s="1">
        <v>45600.34097222222</v>
      </c>
      <c r="N38">
        <f t="shared" si="2"/>
        <v>0</v>
      </c>
      <c r="O38" s="2" t="str">
        <f t="shared" si="3"/>
        <v>High Risk</v>
      </c>
    </row>
    <row r="39" spans="1:15" x14ac:dyDescent="0.3">
      <c r="A39" t="s">
        <v>198</v>
      </c>
      <c r="B39" t="s">
        <v>199</v>
      </c>
      <c r="C39">
        <v>1156.18</v>
      </c>
      <c r="D39" s="1">
        <v>45190.674305555556</v>
      </c>
      <c r="E39" t="s">
        <v>27</v>
      </c>
      <c r="F39" t="s">
        <v>170</v>
      </c>
      <c r="G39" t="s">
        <v>31</v>
      </c>
      <c r="H39">
        <v>52</v>
      </c>
      <c r="I39" t="s">
        <v>47</v>
      </c>
      <c r="J39">
        <v>40</v>
      </c>
      <c r="K39">
        <v>1</v>
      </c>
      <c r="L39">
        <v>836.69</v>
      </c>
      <c r="M39" s="1">
        <v>45600.34097222222</v>
      </c>
      <c r="N39">
        <f t="shared" si="2"/>
        <v>20</v>
      </c>
      <c r="O39" s="2" t="str">
        <f t="shared" si="3"/>
        <v>Medium Risk</v>
      </c>
    </row>
    <row r="40" spans="1:15" x14ac:dyDescent="0.3">
      <c r="A40" t="s">
        <v>203</v>
      </c>
      <c r="B40" t="s">
        <v>204</v>
      </c>
      <c r="C40">
        <v>1045.45</v>
      </c>
      <c r="D40" s="1">
        <v>45229.697916666664</v>
      </c>
      <c r="E40" t="s">
        <v>18</v>
      </c>
      <c r="F40" t="s">
        <v>178</v>
      </c>
      <c r="G40" t="s">
        <v>31</v>
      </c>
      <c r="H40">
        <v>19</v>
      </c>
      <c r="I40" t="s">
        <v>24</v>
      </c>
      <c r="J40">
        <v>150</v>
      </c>
      <c r="K40">
        <v>1</v>
      </c>
      <c r="L40">
        <v>563.46</v>
      </c>
      <c r="M40" s="1">
        <v>45600.34097222222</v>
      </c>
      <c r="N40">
        <f t="shared" si="2"/>
        <v>50</v>
      </c>
      <c r="O40" s="2" t="str">
        <f t="shared" si="3"/>
        <v>Medium Risk</v>
      </c>
    </row>
    <row r="41" spans="1:15" x14ac:dyDescent="0.3">
      <c r="A41" t="s">
        <v>207</v>
      </c>
      <c r="B41" t="s">
        <v>208</v>
      </c>
      <c r="C41">
        <v>1432.02</v>
      </c>
      <c r="D41" s="1">
        <v>45177.743055555555</v>
      </c>
      <c r="E41" t="s">
        <v>18</v>
      </c>
      <c r="F41" t="s">
        <v>209</v>
      </c>
      <c r="G41" t="s">
        <v>23</v>
      </c>
      <c r="H41">
        <v>60</v>
      </c>
      <c r="I41" t="s">
        <v>40</v>
      </c>
      <c r="J41">
        <v>138</v>
      </c>
      <c r="K41">
        <v>1</v>
      </c>
      <c r="L41">
        <v>4315.07</v>
      </c>
      <c r="M41" s="1">
        <v>45600.339583333334</v>
      </c>
      <c r="N41">
        <f t="shared" si="2"/>
        <v>30</v>
      </c>
      <c r="O41" s="2" t="str">
        <f t="shared" si="3"/>
        <v>High Risk</v>
      </c>
    </row>
    <row r="42" spans="1:15" x14ac:dyDescent="0.3">
      <c r="A42" t="s">
        <v>211</v>
      </c>
      <c r="B42" t="s">
        <v>212</v>
      </c>
      <c r="C42">
        <v>1192.2</v>
      </c>
      <c r="D42" s="1">
        <v>45281.681250000001</v>
      </c>
      <c r="E42" t="s">
        <v>27</v>
      </c>
      <c r="F42" t="s">
        <v>58</v>
      </c>
      <c r="G42" t="s">
        <v>23</v>
      </c>
      <c r="H42">
        <v>60</v>
      </c>
      <c r="I42" t="s">
        <v>40</v>
      </c>
      <c r="J42">
        <v>103</v>
      </c>
      <c r="K42">
        <v>5</v>
      </c>
      <c r="L42">
        <v>7816.41</v>
      </c>
      <c r="M42" s="1">
        <v>45600.339583333334</v>
      </c>
      <c r="N42">
        <f t="shared" si="2"/>
        <v>10</v>
      </c>
      <c r="O42" s="2" t="str">
        <f t="shared" si="3"/>
        <v>High Risk</v>
      </c>
    </row>
    <row r="43" spans="1:15" x14ac:dyDescent="0.3">
      <c r="A43" t="s">
        <v>216</v>
      </c>
      <c r="B43" t="s">
        <v>217</v>
      </c>
      <c r="C43">
        <v>1647.74</v>
      </c>
      <c r="D43" s="1">
        <v>45285.736805555556</v>
      </c>
      <c r="E43" t="s">
        <v>18</v>
      </c>
      <c r="F43" t="s">
        <v>209</v>
      </c>
      <c r="G43" t="s">
        <v>39</v>
      </c>
      <c r="H43">
        <v>67</v>
      </c>
      <c r="I43" t="s">
        <v>40</v>
      </c>
      <c r="J43">
        <v>52</v>
      </c>
      <c r="K43">
        <v>1</v>
      </c>
      <c r="L43">
        <v>1483.84</v>
      </c>
      <c r="M43" s="1">
        <v>45600.339583333334</v>
      </c>
      <c r="N43">
        <f t="shared" si="2"/>
        <v>20</v>
      </c>
      <c r="O43" s="2" t="str">
        <f t="shared" si="3"/>
        <v>High Risk</v>
      </c>
    </row>
    <row r="44" spans="1:15" x14ac:dyDescent="0.3">
      <c r="A44" t="s">
        <v>221</v>
      </c>
      <c r="B44" t="s">
        <v>222</v>
      </c>
      <c r="C44">
        <v>1235.69</v>
      </c>
      <c r="D44" s="1">
        <v>45070.676388888889</v>
      </c>
      <c r="E44" t="s">
        <v>27</v>
      </c>
      <c r="F44" t="s">
        <v>191</v>
      </c>
      <c r="G44" t="s">
        <v>23</v>
      </c>
      <c r="H44">
        <v>20</v>
      </c>
      <c r="I44" t="s">
        <v>24</v>
      </c>
      <c r="J44">
        <v>118</v>
      </c>
      <c r="K44">
        <v>1</v>
      </c>
      <c r="L44">
        <v>420.25</v>
      </c>
      <c r="M44" s="1">
        <v>45600.339583333334</v>
      </c>
      <c r="N44">
        <f t="shared" si="2"/>
        <v>0</v>
      </c>
      <c r="O44" s="2" t="str">
        <f t="shared" si="3"/>
        <v>Low Risk</v>
      </c>
    </row>
    <row r="45" spans="1:15" x14ac:dyDescent="0.3">
      <c r="A45" t="s">
        <v>226</v>
      </c>
      <c r="B45" t="s">
        <v>227</v>
      </c>
      <c r="C45">
        <v>1159.3900000000001</v>
      </c>
      <c r="D45" s="1">
        <v>45211.686805555553</v>
      </c>
      <c r="E45" t="s">
        <v>18</v>
      </c>
      <c r="F45" t="s">
        <v>105</v>
      </c>
      <c r="G45" t="s">
        <v>31</v>
      </c>
      <c r="H45">
        <v>41</v>
      </c>
      <c r="I45" t="s">
        <v>47</v>
      </c>
      <c r="J45">
        <v>150</v>
      </c>
      <c r="K45">
        <v>1</v>
      </c>
      <c r="L45">
        <v>6499.53</v>
      </c>
      <c r="M45" s="1">
        <v>45600.337500000001</v>
      </c>
      <c r="N45">
        <f t="shared" si="2"/>
        <v>50</v>
      </c>
      <c r="O45" s="2" t="str">
        <f t="shared" si="3"/>
        <v>High Risk</v>
      </c>
    </row>
    <row r="46" spans="1:15" x14ac:dyDescent="0.3">
      <c r="A46" t="s">
        <v>228</v>
      </c>
      <c r="B46" t="s">
        <v>229</v>
      </c>
      <c r="C46">
        <v>1397.59</v>
      </c>
      <c r="D46" s="1">
        <v>45243.727777777778</v>
      </c>
      <c r="E46" t="s">
        <v>27</v>
      </c>
      <c r="F46" t="s">
        <v>28</v>
      </c>
      <c r="G46" t="s">
        <v>39</v>
      </c>
      <c r="H46">
        <v>26</v>
      </c>
      <c r="I46" t="s">
        <v>24</v>
      </c>
      <c r="J46">
        <v>144</v>
      </c>
      <c r="K46">
        <v>1</v>
      </c>
      <c r="L46">
        <v>1134.79</v>
      </c>
      <c r="M46" s="1">
        <v>45600.337500000001</v>
      </c>
      <c r="N46">
        <f t="shared" si="2"/>
        <v>50</v>
      </c>
      <c r="O46" s="2" t="str">
        <f t="shared" si="3"/>
        <v>High Risk</v>
      </c>
    </row>
    <row r="47" spans="1:15" x14ac:dyDescent="0.3">
      <c r="A47" t="s">
        <v>233</v>
      </c>
      <c r="B47" t="s">
        <v>234</v>
      </c>
      <c r="C47">
        <v>1095.0899999999999</v>
      </c>
      <c r="D47" s="1">
        <v>45033.727083333331</v>
      </c>
      <c r="E47" t="s">
        <v>18</v>
      </c>
      <c r="F47" t="s">
        <v>156</v>
      </c>
      <c r="G47" t="s">
        <v>39</v>
      </c>
      <c r="H47">
        <v>29</v>
      </c>
      <c r="I47" t="s">
        <v>32</v>
      </c>
      <c r="J47">
        <v>52</v>
      </c>
      <c r="K47">
        <v>1</v>
      </c>
      <c r="L47">
        <v>8692.4699999999993</v>
      </c>
      <c r="M47" s="1">
        <v>45600.34097222222</v>
      </c>
      <c r="N47">
        <f t="shared" si="2"/>
        <v>20</v>
      </c>
      <c r="O47" s="2" t="str">
        <f t="shared" si="3"/>
        <v>High Risk</v>
      </c>
    </row>
    <row r="48" spans="1:15" x14ac:dyDescent="0.3">
      <c r="A48" t="s">
        <v>236</v>
      </c>
      <c r="B48" t="s">
        <v>237</v>
      </c>
      <c r="C48">
        <v>1510.71</v>
      </c>
      <c r="D48" s="1">
        <v>45092.7</v>
      </c>
      <c r="E48" t="s">
        <v>18</v>
      </c>
      <c r="F48" t="s">
        <v>105</v>
      </c>
      <c r="G48" t="s">
        <v>31</v>
      </c>
      <c r="H48">
        <v>66</v>
      </c>
      <c r="I48" t="s">
        <v>40</v>
      </c>
      <c r="J48">
        <v>51</v>
      </c>
      <c r="K48">
        <v>1</v>
      </c>
      <c r="L48">
        <v>2060.02</v>
      </c>
      <c r="M48" s="1">
        <v>45600.339583333334</v>
      </c>
      <c r="N48">
        <f t="shared" si="2"/>
        <v>20</v>
      </c>
      <c r="O48" s="2" t="str">
        <f t="shared" si="3"/>
        <v>High Risk</v>
      </c>
    </row>
    <row r="49" spans="1:15" x14ac:dyDescent="0.3">
      <c r="A49" t="s">
        <v>238</v>
      </c>
      <c r="B49" t="s">
        <v>239</v>
      </c>
      <c r="C49">
        <v>1076.98</v>
      </c>
      <c r="D49" s="1">
        <v>45280.758333333331</v>
      </c>
      <c r="E49" t="s">
        <v>18</v>
      </c>
      <c r="F49" t="s">
        <v>50</v>
      </c>
      <c r="G49" t="s">
        <v>23</v>
      </c>
      <c r="H49">
        <v>60</v>
      </c>
      <c r="I49" t="s">
        <v>47</v>
      </c>
      <c r="J49">
        <v>173</v>
      </c>
      <c r="K49">
        <v>1</v>
      </c>
      <c r="L49">
        <v>11833.73</v>
      </c>
      <c r="M49" s="1">
        <v>45600.339583333334</v>
      </c>
      <c r="N49">
        <f t="shared" si="2"/>
        <v>30</v>
      </c>
      <c r="O49" s="2" t="str">
        <f t="shared" si="3"/>
        <v>High Risk</v>
      </c>
    </row>
    <row r="50" spans="1:15" x14ac:dyDescent="0.3">
      <c r="A50" t="s">
        <v>240</v>
      </c>
      <c r="B50" t="s">
        <v>241</v>
      </c>
      <c r="C50">
        <v>1831.02</v>
      </c>
      <c r="D50" s="1">
        <v>45184.729861111111</v>
      </c>
      <c r="E50" t="s">
        <v>27</v>
      </c>
      <c r="F50" t="s">
        <v>35</v>
      </c>
      <c r="G50" t="s">
        <v>31</v>
      </c>
      <c r="H50">
        <v>62</v>
      </c>
      <c r="I50" t="s">
        <v>47</v>
      </c>
      <c r="J50">
        <v>83</v>
      </c>
      <c r="K50">
        <v>1</v>
      </c>
      <c r="L50">
        <v>11498.01</v>
      </c>
      <c r="M50" s="1">
        <v>45600.340277777781</v>
      </c>
      <c r="N50">
        <f t="shared" si="2"/>
        <v>20</v>
      </c>
      <c r="O50" s="2" t="str">
        <f t="shared" si="3"/>
        <v>High Risk</v>
      </c>
    </row>
    <row r="51" spans="1:15" x14ac:dyDescent="0.3">
      <c r="A51" t="s">
        <v>242</v>
      </c>
      <c r="B51" t="s">
        <v>243</v>
      </c>
      <c r="C51">
        <v>1228.81</v>
      </c>
      <c r="D51" s="1">
        <v>44977.691666666666</v>
      </c>
      <c r="E51" t="s">
        <v>18</v>
      </c>
      <c r="F51" t="s">
        <v>156</v>
      </c>
      <c r="G51" t="s">
        <v>39</v>
      </c>
      <c r="H51">
        <v>26</v>
      </c>
      <c r="I51" t="s">
        <v>24</v>
      </c>
      <c r="J51">
        <v>254</v>
      </c>
      <c r="K51">
        <v>1</v>
      </c>
      <c r="L51">
        <v>1821</v>
      </c>
      <c r="M51" s="1">
        <v>45600.339583333334</v>
      </c>
      <c r="N51">
        <f t="shared" si="2"/>
        <v>50</v>
      </c>
      <c r="O51" s="2" t="str">
        <f t="shared" si="3"/>
        <v>High Risk</v>
      </c>
    </row>
    <row r="52" spans="1:15" x14ac:dyDescent="0.3">
      <c r="A52" t="s">
        <v>246</v>
      </c>
      <c r="B52" t="s">
        <v>247</v>
      </c>
      <c r="C52">
        <v>1143.67</v>
      </c>
      <c r="D52" s="1">
        <v>45229.679166666669</v>
      </c>
      <c r="E52" t="s">
        <v>18</v>
      </c>
      <c r="F52" t="s">
        <v>248</v>
      </c>
      <c r="G52" t="s">
        <v>31</v>
      </c>
      <c r="H52">
        <v>66</v>
      </c>
      <c r="I52" t="s">
        <v>40</v>
      </c>
      <c r="J52">
        <v>111</v>
      </c>
      <c r="K52">
        <v>1</v>
      </c>
      <c r="L52">
        <v>7677.76</v>
      </c>
      <c r="M52" s="1">
        <v>45600.340277777781</v>
      </c>
      <c r="N52">
        <f t="shared" si="2"/>
        <v>20</v>
      </c>
      <c r="O52" s="2" t="str">
        <f t="shared" si="3"/>
        <v>High Risk</v>
      </c>
    </row>
    <row r="53" spans="1:15" x14ac:dyDescent="0.3">
      <c r="A53" t="s">
        <v>249</v>
      </c>
      <c r="B53" t="s">
        <v>250</v>
      </c>
      <c r="C53">
        <v>1431.33</v>
      </c>
      <c r="D53" s="1">
        <v>44943.743055555555</v>
      </c>
      <c r="E53" t="s">
        <v>18</v>
      </c>
      <c r="F53" t="s">
        <v>251</v>
      </c>
      <c r="G53" t="s">
        <v>39</v>
      </c>
      <c r="H53">
        <v>30</v>
      </c>
      <c r="I53" t="s">
        <v>47</v>
      </c>
      <c r="J53">
        <v>49</v>
      </c>
      <c r="K53">
        <v>1</v>
      </c>
      <c r="L53">
        <v>5567.98</v>
      </c>
      <c r="M53" s="1">
        <v>45600.339583333334</v>
      </c>
      <c r="N53">
        <f t="shared" si="2"/>
        <v>20</v>
      </c>
      <c r="O53" s="2" t="str">
        <f t="shared" si="3"/>
        <v>High Risk</v>
      </c>
    </row>
    <row r="54" spans="1:15" x14ac:dyDescent="0.3">
      <c r="A54" t="s">
        <v>253</v>
      </c>
      <c r="B54" t="s">
        <v>254</v>
      </c>
      <c r="C54">
        <v>1360.01</v>
      </c>
      <c r="D54" s="1">
        <v>45194.70208333333</v>
      </c>
      <c r="E54" t="s">
        <v>27</v>
      </c>
      <c r="F54" t="s">
        <v>170</v>
      </c>
      <c r="G54" t="s">
        <v>23</v>
      </c>
      <c r="H54">
        <v>67</v>
      </c>
      <c r="I54" t="s">
        <v>40</v>
      </c>
      <c r="J54">
        <v>218</v>
      </c>
      <c r="K54">
        <v>1</v>
      </c>
      <c r="L54">
        <v>6601.5</v>
      </c>
      <c r="M54" s="1">
        <v>45600.34097222222</v>
      </c>
      <c r="N54">
        <f t="shared" si="2"/>
        <v>30</v>
      </c>
      <c r="O54" s="2" t="str">
        <f t="shared" si="3"/>
        <v>High Risk</v>
      </c>
    </row>
    <row r="55" spans="1:15" x14ac:dyDescent="0.3">
      <c r="A55" t="s">
        <v>256</v>
      </c>
      <c r="B55" t="s">
        <v>257</v>
      </c>
      <c r="C55">
        <v>1762.28</v>
      </c>
      <c r="D55" s="1">
        <v>45205.670138888891</v>
      </c>
      <c r="E55" t="s">
        <v>18</v>
      </c>
      <c r="F55" t="s">
        <v>258</v>
      </c>
      <c r="G55" t="s">
        <v>39</v>
      </c>
      <c r="H55">
        <v>24</v>
      </c>
      <c r="I55" t="s">
        <v>24</v>
      </c>
      <c r="J55">
        <v>150</v>
      </c>
      <c r="K55">
        <v>1</v>
      </c>
      <c r="L55">
        <v>1380.34</v>
      </c>
      <c r="M55" s="1">
        <v>45600.340277777781</v>
      </c>
      <c r="N55">
        <f t="shared" si="2"/>
        <v>50</v>
      </c>
      <c r="O55" s="2" t="str">
        <f t="shared" si="3"/>
        <v>High Risk</v>
      </c>
    </row>
    <row r="56" spans="1:15" x14ac:dyDescent="0.3">
      <c r="A56" t="s">
        <v>262</v>
      </c>
      <c r="B56" t="s">
        <v>263</v>
      </c>
      <c r="C56">
        <v>1353.93</v>
      </c>
      <c r="D56" s="1">
        <v>45245.730555555558</v>
      </c>
      <c r="E56" t="s">
        <v>18</v>
      </c>
      <c r="F56" t="s">
        <v>54</v>
      </c>
      <c r="G56" t="s">
        <v>23</v>
      </c>
      <c r="H56">
        <v>26</v>
      </c>
      <c r="I56" t="s">
        <v>32</v>
      </c>
      <c r="J56">
        <v>171</v>
      </c>
      <c r="K56">
        <v>1</v>
      </c>
      <c r="L56">
        <v>7858.41</v>
      </c>
      <c r="M56" s="1">
        <v>45600.338888888888</v>
      </c>
      <c r="N56">
        <f t="shared" si="2"/>
        <v>30</v>
      </c>
      <c r="O56" s="2" t="str">
        <f t="shared" si="3"/>
        <v>High Risk</v>
      </c>
    </row>
    <row r="57" spans="1:15" x14ac:dyDescent="0.3">
      <c r="A57" t="s">
        <v>264</v>
      </c>
      <c r="B57" t="s">
        <v>265</v>
      </c>
      <c r="C57">
        <v>1294.81</v>
      </c>
      <c r="D57" s="1">
        <v>45271.703472222223</v>
      </c>
      <c r="E57" t="s">
        <v>27</v>
      </c>
      <c r="F57" t="s">
        <v>63</v>
      </c>
      <c r="G57" t="s">
        <v>23</v>
      </c>
      <c r="H57">
        <v>45</v>
      </c>
      <c r="I57" t="s">
        <v>32</v>
      </c>
      <c r="J57">
        <v>279</v>
      </c>
      <c r="K57">
        <v>1</v>
      </c>
      <c r="L57">
        <v>9927.75</v>
      </c>
      <c r="M57" s="1">
        <v>45600.34097222222</v>
      </c>
      <c r="N57">
        <f t="shared" si="2"/>
        <v>30</v>
      </c>
      <c r="O57" s="2" t="str">
        <f t="shared" si="3"/>
        <v>High Risk</v>
      </c>
    </row>
    <row r="58" spans="1:15" x14ac:dyDescent="0.3">
      <c r="A58" t="s">
        <v>267</v>
      </c>
      <c r="B58" t="s">
        <v>268</v>
      </c>
      <c r="C58">
        <v>1283.97</v>
      </c>
      <c r="D58" s="1">
        <v>45147.730555555558</v>
      </c>
      <c r="E58" t="s">
        <v>18</v>
      </c>
      <c r="F58" t="s">
        <v>96</v>
      </c>
      <c r="G58" t="s">
        <v>39</v>
      </c>
      <c r="H58">
        <v>42</v>
      </c>
      <c r="I58" t="s">
        <v>47</v>
      </c>
      <c r="J58">
        <v>121</v>
      </c>
      <c r="K58">
        <v>1</v>
      </c>
      <c r="L58">
        <v>11041.9</v>
      </c>
      <c r="M58" s="1">
        <v>45600.338194444441</v>
      </c>
      <c r="N58">
        <f t="shared" si="2"/>
        <v>50</v>
      </c>
      <c r="O58" s="2" t="str">
        <f t="shared" si="3"/>
        <v>High Risk</v>
      </c>
    </row>
    <row r="59" spans="1:15" x14ac:dyDescent="0.3">
      <c r="A59" t="s">
        <v>270</v>
      </c>
      <c r="B59" t="s">
        <v>57</v>
      </c>
      <c r="C59">
        <v>1011.22</v>
      </c>
      <c r="D59" s="1">
        <v>45159.785416666666</v>
      </c>
      <c r="E59" t="s">
        <v>18</v>
      </c>
      <c r="F59" t="s">
        <v>123</v>
      </c>
      <c r="G59" t="s">
        <v>23</v>
      </c>
      <c r="H59">
        <v>61</v>
      </c>
      <c r="I59" t="s">
        <v>40</v>
      </c>
      <c r="J59">
        <v>129</v>
      </c>
      <c r="K59">
        <v>1</v>
      </c>
      <c r="L59">
        <v>5838.91</v>
      </c>
      <c r="M59" s="1">
        <v>45600.339583333334</v>
      </c>
      <c r="N59">
        <f t="shared" si="2"/>
        <v>30</v>
      </c>
      <c r="O59" s="2" t="str">
        <f t="shared" si="3"/>
        <v>High Risk</v>
      </c>
    </row>
    <row r="60" spans="1:15" x14ac:dyDescent="0.3">
      <c r="A60" t="s">
        <v>273</v>
      </c>
      <c r="B60" t="s">
        <v>274</v>
      </c>
      <c r="C60">
        <v>1086.5999999999999</v>
      </c>
      <c r="D60" s="1">
        <v>45068.736111111109</v>
      </c>
      <c r="E60" t="s">
        <v>18</v>
      </c>
      <c r="F60" t="s">
        <v>114</v>
      </c>
      <c r="G60" t="s">
        <v>31</v>
      </c>
      <c r="H60">
        <v>19</v>
      </c>
      <c r="I60" t="s">
        <v>24</v>
      </c>
      <c r="J60">
        <v>38</v>
      </c>
      <c r="K60">
        <v>1</v>
      </c>
      <c r="L60">
        <v>1605.67</v>
      </c>
      <c r="M60" s="1">
        <v>45600.340277777781</v>
      </c>
      <c r="N60">
        <f t="shared" si="2"/>
        <v>20</v>
      </c>
      <c r="O60" s="2" t="str">
        <f t="shared" si="3"/>
        <v>High Risk</v>
      </c>
    </row>
    <row r="61" spans="1:15" x14ac:dyDescent="0.3">
      <c r="A61" t="s">
        <v>278</v>
      </c>
      <c r="B61" t="s">
        <v>279</v>
      </c>
      <c r="C61">
        <v>1612.37</v>
      </c>
      <c r="D61" s="1">
        <v>45131.740277777775</v>
      </c>
      <c r="E61" t="s">
        <v>18</v>
      </c>
      <c r="F61" t="s">
        <v>181</v>
      </c>
      <c r="G61" t="s">
        <v>39</v>
      </c>
      <c r="H61">
        <v>65</v>
      </c>
      <c r="I61" t="s">
        <v>40</v>
      </c>
      <c r="J61">
        <v>173</v>
      </c>
      <c r="K61">
        <v>1</v>
      </c>
      <c r="L61">
        <v>3910.59</v>
      </c>
      <c r="M61" s="1">
        <v>45600.338888888888</v>
      </c>
      <c r="N61">
        <f t="shared" si="2"/>
        <v>50</v>
      </c>
      <c r="O61" s="2" t="str">
        <f t="shared" si="3"/>
        <v>High Risk</v>
      </c>
    </row>
    <row r="62" spans="1:15" x14ac:dyDescent="0.3">
      <c r="A62" t="s">
        <v>280</v>
      </c>
      <c r="B62" t="s">
        <v>281</v>
      </c>
      <c r="C62">
        <v>1135.8</v>
      </c>
      <c r="D62" s="1">
        <v>45175.668749999997</v>
      </c>
      <c r="E62" t="s">
        <v>18</v>
      </c>
      <c r="F62" t="s">
        <v>114</v>
      </c>
      <c r="G62" t="s">
        <v>39</v>
      </c>
      <c r="H62">
        <v>30</v>
      </c>
      <c r="I62" t="s">
        <v>47</v>
      </c>
      <c r="J62">
        <v>250</v>
      </c>
      <c r="K62">
        <v>1</v>
      </c>
      <c r="L62">
        <v>13534.3</v>
      </c>
      <c r="M62" s="1">
        <v>45600.338194444441</v>
      </c>
      <c r="N62">
        <f t="shared" si="2"/>
        <v>50</v>
      </c>
      <c r="O62" s="2" t="str">
        <f t="shared" si="3"/>
        <v>High Risk</v>
      </c>
    </row>
    <row r="63" spans="1:15" x14ac:dyDescent="0.3">
      <c r="A63" t="s">
        <v>282</v>
      </c>
      <c r="B63" t="s">
        <v>283</v>
      </c>
      <c r="C63">
        <v>1168.26</v>
      </c>
      <c r="D63" s="1">
        <v>45089.684027777781</v>
      </c>
      <c r="E63" t="s">
        <v>27</v>
      </c>
      <c r="F63" t="s">
        <v>284</v>
      </c>
      <c r="G63" t="s">
        <v>31</v>
      </c>
      <c r="H63">
        <v>73</v>
      </c>
      <c r="I63" t="s">
        <v>40</v>
      </c>
      <c r="J63">
        <v>37</v>
      </c>
      <c r="K63">
        <v>1</v>
      </c>
      <c r="L63">
        <v>1385.74</v>
      </c>
      <c r="M63" s="1">
        <v>45600.339583333334</v>
      </c>
      <c r="N63">
        <f t="shared" si="2"/>
        <v>20</v>
      </c>
      <c r="O63" s="2" t="str">
        <f t="shared" si="3"/>
        <v>High Risk</v>
      </c>
    </row>
    <row r="64" spans="1:15" x14ac:dyDescent="0.3">
      <c r="A64" t="s">
        <v>285</v>
      </c>
      <c r="B64" t="s">
        <v>286</v>
      </c>
      <c r="C64">
        <v>1427.71</v>
      </c>
      <c r="D64" s="1">
        <v>44950.726388888892</v>
      </c>
      <c r="E64" t="s">
        <v>18</v>
      </c>
      <c r="F64" t="s">
        <v>287</v>
      </c>
      <c r="G64" t="s">
        <v>23</v>
      </c>
      <c r="H64">
        <v>64</v>
      </c>
      <c r="I64" t="s">
        <v>47</v>
      </c>
      <c r="J64">
        <v>159</v>
      </c>
      <c r="K64">
        <v>1</v>
      </c>
      <c r="L64">
        <v>1729.26</v>
      </c>
      <c r="M64" s="1">
        <v>45600.339583333334</v>
      </c>
      <c r="N64">
        <f t="shared" si="2"/>
        <v>30</v>
      </c>
      <c r="O64" s="2" t="str">
        <f t="shared" si="3"/>
        <v>High Risk</v>
      </c>
    </row>
    <row r="65" spans="1:15" x14ac:dyDescent="0.3">
      <c r="A65" t="s">
        <v>289</v>
      </c>
      <c r="B65" t="s">
        <v>290</v>
      </c>
      <c r="C65">
        <v>1496.57</v>
      </c>
      <c r="D65" s="1">
        <v>44984.679166666669</v>
      </c>
      <c r="E65" t="s">
        <v>18</v>
      </c>
      <c r="F65" t="s">
        <v>258</v>
      </c>
      <c r="G65" t="s">
        <v>31</v>
      </c>
      <c r="H65">
        <v>33</v>
      </c>
      <c r="I65" t="s">
        <v>32</v>
      </c>
      <c r="J65">
        <v>95</v>
      </c>
      <c r="K65">
        <v>1</v>
      </c>
      <c r="L65">
        <v>969.06</v>
      </c>
      <c r="M65" s="1">
        <v>45600.337500000001</v>
      </c>
      <c r="N65">
        <f t="shared" si="2"/>
        <v>20</v>
      </c>
      <c r="O65" s="2" t="str">
        <f t="shared" si="3"/>
        <v>Medium Risk</v>
      </c>
    </row>
    <row r="66" spans="1:15" x14ac:dyDescent="0.3">
      <c r="A66" t="s">
        <v>294</v>
      </c>
      <c r="B66" t="s">
        <v>295</v>
      </c>
      <c r="C66">
        <v>1001.83</v>
      </c>
      <c r="D66" s="1">
        <v>45124.740277777775</v>
      </c>
      <c r="E66" t="s">
        <v>18</v>
      </c>
      <c r="F66" t="s">
        <v>284</v>
      </c>
      <c r="G66" t="s">
        <v>31</v>
      </c>
      <c r="H66">
        <v>31</v>
      </c>
      <c r="I66" t="s">
        <v>47</v>
      </c>
      <c r="J66">
        <v>55</v>
      </c>
      <c r="K66">
        <v>1</v>
      </c>
      <c r="L66">
        <v>9733.83</v>
      </c>
      <c r="M66" s="1">
        <v>45600.34097222222</v>
      </c>
      <c r="N66">
        <f t="shared" ref="N66:N91" si="4">IF(C66&gt;100000,40,0)
+IF(J66&gt;120,30,0)
+IF(OR(G66="Online",G66="ATM"),20,0)
+IF(K66&gt;3,10,0)</f>
        <v>20</v>
      </c>
      <c r="O66" s="2" t="str">
        <f t="shared" ref="O66:O91" si="5">IF(L66&gt;=1000,"High Risk",
 IF(L66&gt;=500,"Medium Risk","Low Risk"))</f>
        <v>High Risk</v>
      </c>
    </row>
    <row r="67" spans="1:15" x14ac:dyDescent="0.3">
      <c r="A67" t="s">
        <v>296</v>
      </c>
      <c r="B67" t="s">
        <v>297</v>
      </c>
      <c r="C67">
        <v>1087.9000000000001</v>
      </c>
      <c r="D67" s="1">
        <v>45012.754166666666</v>
      </c>
      <c r="E67" t="s">
        <v>18</v>
      </c>
      <c r="F67" t="s">
        <v>298</v>
      </c>
      <c r="G67" t="s">
        <v>39</v>
      </c>
      <c r="H67">
        <v>78</v>
      </c>
      <c r="I67" t="s">
        <v>40</v>
      </c>
      <c r="J67">
        <v>103</v>
      </c>
      <c r="K67">
        <v>1</v>
      </c>
      <c r="L67">
        <v>2513.5100000000002</v>
      </c>
      <c r="M67" s="1">
        <v>45600.341666666667</v>
      </c>
      <c r="N67">
        <f t="shared" si="4"/>
        <v>20</v>
      </c>
      <c r="O67" s="2" t="str">
        <f t="shared" si="5"/>
        <v>High Risk</v>
      </c>
    </row>
    <row r="68" spans="1:15" x14ac:dyDescent="0.3">
      <c r="A68" t="s">
        <v>300</v>
      </c>
      <c r="B68" t="s">
        <v>301</v>
      </c>
      <c r="C68">
        <v>1225.5</v>
      </c>
      <c r="D68" s="1">
        <v>45257.668055555558</v>
      </c>
      <c r="E68" t="s">
        <v>27</v>
      </c>
      <c r="F68" t="s">
        <v>302</v>
      </c>
      <c r="G68" t="s">
        <v>31</v>
      </c>
      <c r="H68">
        <v>50</v>
      </c>
      <c r="I68" t="s">
        <v>47</v>
      </c>
      <c r="J68">
        <v>109</v>
      </c>
      <c r="K68">
        <v>1</v>
      </c>
      <c r="L68">
        <v>8611.17</v>
      </c>
      <c r="M68" s="1">
        <v>45600.34097222222</v>
      </c>
      <c r="N68">
        <f t="shared" si="4"/>
        <v>20</v>
      </c>
      <c r="O68" s="2" t="str">
        <f t="shared" si="5"/>
        <v>High Risk</v>
      </c>
    </row>
    <row r="69" spans="1:15" x14ac:dyDescent="0.3">
      <c r="A69" t="s">
        <v>303</v>
      </c>
      <c r="B69" t="s">
        <v>304</v>
      </c>
      <c r="C69">
        <v>1512.99</v>
      </c>
      <c r="D69" s="1">
        <v>45146.71875</v>
      </c>
      <c r="E69" t="s">
        <v>18</v>
      </c>
      <c r="F69" t="s">
        <v>284</v>
      </c>
      <c r="G69" t="s">
        <v>31</v>
      </c>
      <c r="H69">
        <v>19</v>
      </c>
      <c r="I69" t="s">
        <v>24</v>
      </c>
      <c r="J69">
        <v>50</v>
      </c>
      <c r="K69">
        <v>1</v>
      </c>
      <c r="L69">
        <v>9963.39</v>
      </c>
      <c r="M69" s="1">
        <v>45600.339583333334</v>
      </c>
      <c r="N69">
        <f t="shared" si="4"/>
        <v>20</v>
      </c>
      <c r="O69" s="2" t="str">
        <f t="shared" si="5"/>
        <v>High Risk</v>
      </c>
    </row>
    <row r="70" spans="1:15" x14ac:dyDescent="0.3">
      <c r="A70" t="s">
        <v>305</v>
      </c>
      <c r="B70" t="s">
        <v>306</v>
      </c>
      <c r="C70">
        <v>1142.83</v>
      </c>
      <c r="D70" s="1">
        <v>45121.738888888889</v>
      </c>
      <c r="E70" t="s">
        <v>27</v>
      </c>
      <c r="F70" t="s">
        <v>72</v>
      </c>
      <c r="G70" t="s">
        <v>23</v>
      </c>
      <c r="H70">
        <v>61</v>
      </c>
      <c r="I70" t="s">
        <v>40</v>
      </c>
      <c r="J70">
        <v>48</v>
      </c>
      <c r="K70">
        <v>1</v>
      </c>
      <c r="L70">
        <v>2467.39</v>
      </c>
      <c r="M70" s="1">
        <v>45600.34097222222</v>
      </c>
      <c r="N70">
        <f t="shared" si="4"/>
        <v>0</v>
      </c>
      <c r="O70" s="2" t="str">
        <f t="shared" si="5"/>
        <v>High Risk</v>
      </c>
    </row>
    <row r="71" spans="1:15" x14ac:dyDescent="0.3">
      <c r="A71" t="s">
        <v>308</v>
      </c>
      <c r="B71" t="s">
        <v>309</v>
      </c>
      <c r="C71">
        <v>1116.57</v>
      </c>
      <c r="D71" s="1">
        <v>44980.70416666667</v>
      </c>
      <c r="E71" t="s">
        <v>18</v>
      </c>
      <c r="F71" t="s">
        <v>123</v>
      </c>
      <c r="G71" t="s">
        <v>39</v>
      </c>
      <c r="H71">
        <v>56</v>
      </c>
      <c r="I71" t="s">
        <v>40</v>
      </c>
      <c r="J71">
        <v>104</v>
      </c>
      <c r="K71">
        <v>1</v>
      </c>
      <c r="L71">
        <v>1393.14</v>
      </c>
      <c r="M71" s="1">
        <v>45600.338194444441</v>
      </c>
      <c r="N71">
        <f t="shared" si="4"/>
        <v>20</v>
      </c>
      <c r="O71" s="2" t="str">
        <f t="shared" si="5"/>
        <v>High Risk</v>
      </c>
    </row>
    <row r="72" spans="1:15" x14ac:dyDescent="0.3">
      <c r="A72" t="s">
        <v>311</v>
      </c>
      <c r="B72" t="s">
        <v>312</v>
      </c>
      <c r="C72">
        <v>1192.95</v>
      </c>
      <c r="D72" s="1">
        <v>45264.770833333336</v>
      </c>
      <c r="E72" t="s">
        <v>18</v>
      </c>
      <c r="F72" t="s">
        <v>302</v>
      </c>
      <c r="G72" t="s">
        <v>23</v>
      </c>
      <c r="H72">
        <v>23</v>
      </c>
      <c r="I72" t="s">
        <v>24</v>
      </c>
      <c r="J72">
        <v>73</v>
      </c>
      <c r="K72">
        <v>1</v>
      </c>
      <c r="L72">
        <v>325.14999999999998</v>
      </c>
      <c r="M72" s="1">
        <v>45600.338888888888</v>
      </c>
      <c r="N72">
        <f t="shared" si="4"/>
        <v>0</v>
      </c>
      <c r="O72" s="2" t="str">
        <f t="shared" si="5"/>
        <v>Low Risk</v>
      </c>
    </row>
    <row r="73" spans="1:15" x14ac:dyDescent="0.3">
      <c r="A73" t="s">
        <v>316</v>
      </c>
      <c r="B73" t="s">
        <v>317</v>
      </c>
      <c r="C73">
        <v>1079.1099999999999</v>
      </c>
      <c r="D73" s="1">
        <v>45051.695833333331</v>
      </c>
      <c r="E73" t="s">
        <v>18</v>
      </c>
      <c r="F73" t="s">
        <v>302</v>
      </c>
      <c r="G73" t="s">
        <v>31</v>
      </c>
      <c r="H73">
        <v>53</v>
      </c>
      <c r="I73" t="s">
        <v>32</v>
      </c>
      <c r="J73">
        <v>211</v>
      </c>
      <c r="K73">
        <v>1</v>
      </c>
      <c r="L73">
        <v>2038.31</v>
      </c>
      <c r="M73" s="1">
        <v>45600.338194444441</v>
      </c>
      <c r="N73">
        <f t="shared" si="4"/>
        <v>50</v>
      </c>
      <c r="O73" s="2" t="str">
        <f t="shared" si="5"/>
        <v>High Risk</v>
      </c>
    </row>
    <row r="74" spans="1:15" x14ac:dyDescent="0.3">
      <c r="A74" t="s">
        <v>319</v>
      </c>
      <c r="B74" t="s">
        <v>320</v>
      </c>
      <c r="C74">
        <v>1026.46</v>
      </c>
      <c r="D74" s="1">
        <v>45098.694444444445</v>
      </c>
      <c r="E74" t="s">
        <v>18</v>
      </c>
      <c r="F74" t="s">
        <v>284</v>
      </c>
      <c r="G74" t="s">
        <v>23</v>
      </c>
      <c r="H74">
        <v>53</v>
      </c>
      <c r="I74" t="s">
        <v>40</v>
      </c>
      <c r="J74">
        <v>165</v>
      </c>
      <c r="K74">
        <v>1</v>
      </c>
      <c r="L74">
        <v>3134.47</v>
      </c>
      <c r="M74" s="1">
        <v>45600.338194444441</v>
      </c>
      <c r="N74">
        <f t="shared" si="4"/>
        <v>30</v>
      </c>
      <c r="O74" s="2" t="str">
        <f t="shared" si="5"/>
        <v>High Risk</v>
      </c>
    </row>
    <row r="75" spans="1:15" x14ac:dyDescent="0.3">
      <c r="A75" t="s">
        <v>322</v>
      </c>
      <c r="B75" t="s">
        <v>323</v>
      </c>
      <c r="C75">
        <v>1154.79</v>
      </c>
      <c r="D75" s="1">
        <v>45140.744444444441</v>
      </c>
      <c r="E75" t="s">
        <v>18</v>
      </c>
      <c r="F75" t="s">
        <v>35</v>
      </c>
      <c r="G75" t="s">
        <v>39</v>
      </c>
      <c r="H75">
        <v>51</v>
      </c>
      <c r="I75" t="s">
        <v>47</v>
      </c>
      <c r="J75">
        <v>108</v>
      </c>
      <c r="K75">
        <v>1</v>
      </c>
      <c r="L75">
        <v>6180.3</v>
      </c>
      <c r="M75" s="1">
        <v>45600.34097222222</v>
      </c>
      <c r="N75">
        <f t="shared" si="4"/>
        <v>20</v>
      </c>
      <c r="O75" s="2" t="str">
        <f t="shared" si="5"/>
        <v>High Risk</v>
      </c>
    </row>
    <row r="76" spans="1:15" x14ac:dyDescent="0.3">
      <c r="A76" t="s">
        <v>326</v>
      </c>
      <c r="B76" t="s">
        <v>327</v>
      </c>
      <c r="C76">
        <v>1250.94</v>
      </c>
      <c r="D76" s="1">
        <v>44985.739583333336</v>
      </c>
      <c r="E76" t="s">
        <v>18</v>
      </c>
      <c r="F76" t="s">
        <v>35</v>
      </c>
      <c r="G76" t="s">
        <v>39</v>
      </c>
      <c r="H76">
        <v>36</v>
      </c>
      <c r="I76" t="s">
        <v>47</v>
      </c>
      <c r="J76">
        <v>107</v>
      </c>
      <c r="K76">
        <v>2</v>
      </c>
      <c r="L76">
        <v>11565.97</v>
      </c>
      <c r="M76" s="1">
        <v>45600.338888888888</v>
      </c>
      <c r="N76">
        <f t="shared" si="4"/>
        <v>20</v>
      </c>
      <c r="O76" s="2" t="str">
        <f t="shared" si="5"/>
        <v>High Risk</v>
      </c>
    </row>
    <row r="77" spans="1:15" x14ac:dyDescent="0.3">
      <c r="A77" t="s">
        <v>328</v>
      </c>
      <c r="B77" t="s">
        <v>329</v>
      </c>
      <c r="C77">
        <v>1047.69</v>
      </c>
      <c r="D77" s="1">
        <v>45215.688888888886</v>
      </c>
      <c r="E77" t="s">
        <v>18</v>
      </c>
      <c r="F77" t="s">
        <v>28</v>
      </c>
      <c r="G77" t="s">
        <v>31</v>
      </c>
      <c r="H77">
        <v>20</v>
      </c>
      <c r="I77" t="s">
        <v>24</v>
      </c>
      <c r="J77">
        <v>139</v>
      </c>
      <c r="K77">
        <v>1</v>
      </c>
      <c r="L77">
        <v>1889.78</v>
      </c>
      <c r="M77" s="1">
        <v>45600.340277777781</v>
      </c>
      <c r="N77">
        <f t="shared" si="4"/>
        <v>50</v>
      </c>
      <c r="O77" s="2" t="str">
        <f t="shared" si="5"/>
        <v>High Risk</v>
      </c>
    </row>
    <row r="78" spans="1:15" x14ac:dyDescent="0.3">
      <c r="A78" t="s">
        <v>332</v>
      </c>
      <c r="B78" t="s">
        <v>333</v>
      </c>
      <c r="C78">
        <v>1431.54</v>
      </c>
      <c r="D78" s="1">
        <v>45271.682638888888</v>
      </c>
      <c r="E78" t="s">
        <v>18</v>
      </c>
      <c r="F78" t="s">
        <v>146</v>
      </c>
      <c r="G78" t="s">
        <v>31</v>
      </c>
      <c r="H78">
        <v>20</v>
      </c>
      <c r="I78" t="s">
        <v>24</v>
      </c>
      <c r="J78">
        <v>84</v>
      </c>
      <c r="K78">
        <v>1</v>
      </c>
      <c r="L78">
        <v>1171.98</v>
      </c>
      <c r="M78" s="1">
        <v>45600.338888888888</v>
      </c>
      <c r="N78">
        <f t="shared" si="4"/>
        <v>20</v>
      </c>
      <c r="O78" s="2" t="str">
        <f t="shared" si="5"/>
        <v>High Risk</v>
      </c>
    </row>
    <row r="79" spans="1:15" x14ac:dyDescent="0.3">
      <c r="A79" t="s">
        <v>336</v>
      </c>
      <c r="B79" t="s">
        <v>337</v>
      </c>
      <c r="C79">
        <v>1413.24</v>
      </c>
      <c r="D79" s="1">
        <v>45236.790972222225</v>
      </c>
      <c r="E79" t="s">
        <v>18</v>
      </c>
      <c r="F79" t="s">
        <v>287</v>
      </c>
      <c r="G79" t="s">
        <v>39</v>
      </c>
      <c r="H79">
        <v>58</v>
      </c>
      <c r="I79" t="s">
        <v>32</v>
      </c>
      <c r="J79">
        <v>199</v>
      </c>
      <c r="K79">
        <v>1</v>
      </c>
      <c r="L79">
        <v>7272.01</v>
      </c>
      <c r="M79" s="1">
        <v>45600.34097222222</v>
      </c>
      <c r="N79">
        <f t="shared" si="4"/>
        <v>50</v>
      </c>
      <c r="O79" s="2" t="str">
        <f t="shared" si="5"/>
        <v>High Risk</v>
      </c>
    </row>
    <row r="80" spans="1:15" x14ac:dyDescent="0.3">
      <c r="A80" t="s">
        <v>339</v>
      </c>
      <c r="B80" t="s">
        <v>340</v>
      </c>
      <c r="C80">
        <v>1152.58</v>
      </c>
      <c r="D80" s="1">
        <v>45182.748611111114</v>
      </c>
      <c r="E80" t="s">
        <v>18</v>
      </c>
      <c r="F80" t="s">
        <v>28</v>
      </c>
      <c r="G80" t="s">
        <v>23</v>
      </c>
      <c r="H80">
        <v>65</v>
      </c>
      <c r="I80" t="s">
        <v>40</v>
      </c>
      <c r="J80">
        <v>180</v>
      </c>
      <c r="K80">
        <v>1</v>
      </c>
      <c r="L80">
        <v>7567.17</v>
      </c>
      <c r="M80" s="1">
        <v>45600.34097222222</v>
      </c>
      <c r="N80">
        <f t="shared" si="4"/>
        <v>30</v>
      </c>
      <c r="O80" s="2" t="str">
        <f t="shared" si="5"/>
        <v>High Risk</v>
      </c>
    </row>
    <row r="81" spans="1:15" x14ac:dyDescent="0.3">
      <c r="A81" t="s">
        <v>342</v>
      </c>
      <c r="B81" t="s">
        <v>343</v>
      </c>
      <c r="C81">
        <v>1169.5899999999999</v>
      </c>
      <c r="D81" s="1">
        <v>45285.716666666667</v>
      </c>
      <c r="E81" t="s">
        <v>18</v>
      </c>
      <c r="F81" t="s">
        <v>287</v>
      </c>
      <c r="G81" t="s">
        <v>31</v>
      </c>
      <c r="H81">
        <v>28</v>
      </c>
      <c r="I81" t="s">
        <v>24</v>
      </c>
      <c r="J81">
        <v>114</v>
      </c>
      <c r="K81">
        <v>1</v>
      </c>
      <c r="L81">
        <v>5946.45</v>
      </c>
      <c r="M81" s="1">
        <v>45600.34097222222</v>
      </c>
      <c r="N81">
        <f t="shared" si="4"/>
        <v>20</v>
      </c>
      <c r="O81" s="2" t="str">
        <f t="shared" si="5"/>
        <v>High Risk</v>
      </c>
    </row>
    <row r="82" spans="1:15" x14ac:dyDescent="0.3">
      <c r="A82" t="s">
        <v>344</v>
      </c>
      <c r="B82" t="s">
        <v>345</v>
      </c>
      <c r="C82">
        <v>1360.67</v>
      </c>
      <c r="D82" s="1">
        <v>45035.693055555559</v>
      </c>
      <c r="E82" t="s">
        <v>18</v>
      </c>
      <c r="F82" t="s">
        <v>346</v>
      </c>
      <c r="G82" t="s">
        <v>23</v>
      </c>
      <c r="H82">
        <v>29</v>
      </c>
      <c r="I82" t="s">
        <v>32</v>
      </c>
      <c r="J82">
        <v>118</v>
      </c>
      <c r="K82">
        <v>1</v>
      </c>
      <c r="L82">
        <v>2861.65</v>
      </c>
      <c r="M82" s="1">
        <v>45600.337500000001</v>
      </c>
      <c r="N82">
        <f t="shared" si="4"/>
        <v>0</v>
      </c>
      <c r="O82" s="2" t="str">
        <f t="shared" si="5"/>
        <v>High Risk</v>
      </c>
    </row>
    <row r="83" spans="1:15" x14ac:dyDescent="0.3">
      <c r="A83" t="s">
        <v>347</v>
      </c>
      <c r="B83" t="s">
        <v>348</v>
      </c>
      <c r="C83">
        <v>1454.52</v>
      </c>
      <c r="D83" s="1">
        <v>45191.675694444442</v>
      </c>
      <c r="E83" t="s">
        <v>18</v>
      </c>
      <c r="F83" t="s">
        <v>140</v>
      </c>
      <c r="G83" t="s">
        <v>39</v>
      </c>
      <c r="H83">
        <v>27</v>
      </c>
      <c r="I83" t="s">
        <v>24</v>
      </c>
      <c r="J83">
        <v>20</v>
      </c>
      <c r="K83">
        <v>1</v>
      </c>
      <c r="L83">
        <v>1189.03</v>
      </c>
      <c r="M83" s="1">
        <v>45600.338194444441</v>
      </c>
      <c r="N83">
        <f t="shared" si="4"/>
        <v>20</v>
      </c>
      <c r="O83" s="2" t="str">
        <f t="shared" si="5"/>
        <v>High Risk</v>
      </c>
    </row>
    <row r="84" spans="1:15" x14ac:dyDescent="0.3">
      <c r="A84" t="s">
        <v>352</v>
      </c>
      <c r="B84" t="s">
        <v>353</v>
      </c>
      <c r="C84">
        <v>1021.38</v>
      </c>
      <c r="D84" s="1">
        <v>44953.790972222225</v>
      </c>
      <c r="E84" t="s">
        <v>18</v>
      </c>
      <c r="F84" t="s">
        <v>50</v>
      </c>
      <c r="G84" t="s">
        <v>23</v>
      </c>
      <c r="H84">
        <v>61</v>
      </c>
      <c r="I84" t="s">
        <v>47</v>
      </c>
      <c r="J84">
        <v>125</v>
      </c>
      <c r="K84">
        <v>1</v>
      </c>
      <c r="L84">
        <v>6223.26</v>
      </c>
      <c r="M84" s="1">
        <v>45600.338888888888</v>
      </c>
      <c r="N84">
        <f t="shared" si="4"/>
        <v>30</v>
      </c>
      <c r="O84" s="2" t="str">
        <f t="shared" si="5"/>
        <v>High Risk</v>
      </c>
    </row>
    <row r="85" spans="1:15" x14ac:dyDescent="0.3">
      <c r="A85" t="s">
        <v>354</v>
      </c>
      <c r="B85" t="s">
        <v>355</v>
      </c>
      <c r="C85">
        <v>1030.8499999999999</v>
      </c>
      <c r="D85" s="1">
        <v>45173.723611111112</v>
      </c>
      <c r="E85" t="s">
        <v>18</v>
      </c>
      <c r="F85" t="s">
        <v>114</v>
      </c>
      <c r="G85" t="s">
        <v>39</v>
      </c>
      <c r="H85">
        <v>25</v>
      </c>
      <c r="I85" t="s">
        <v>24</v>
      </c>
      <c r="J85">
        <v>39</v>
      </c>
      <c r="K85">
        <v>1</v>
      </c>
      <c r="L85">
        <v>1941.8</v>
      </c>
      <c r="M85" s="1">
        <v>45600.34097222222</v>
      </c>
      <c r="N85">
        <f t="shared" si="4"/>
        <v>20</v>
      </c>
      <c r="O85" s="2" t="str">
        <f t="shared" si="5"/>
        <v>High Risk</v>
      </c>
    </row>
    <row r="86" spans="1:15" x14ac:dyDescent="0.3">
      <c r="A86" t="s">
        <v>357</v>
      </c>
      <c r="B86" t="s">
        <v>358</v>
      </c>
      <c r="C86">
        <v>1142.76</v>
      </c>
      <c r="D86" s="1">
        <v>45000.715277777781</v>
      </c>
      <c r="E86" t="s">
        <v>27</v>
      </c>
      <c r="F86" t="s">
        <v>88</v>
      </c>
      <c r="G86" t="s">
        <v>31</v>
      </c>
      <c r="H86">
        <v>25</v>
      </c>
      <c r="I86" t="s">
        <v>24</v>
      </c>
      <c r="J86">
        <v>71</v>
      </c>
      <c r="K86">
        <v>1</v>
      </c>
      <c r="L86">
        <v>1498.93</v>
      </c>
      <c r="M86" s="1">
        <v>45600.340277777781</v>
      </c>
      <c r="N86">
        <f t="shared" si="4"/>
        <v>20</v>
      </c>
      <c r="O86" s="2" t="str">
        <f t="shared" si="5"/>
        <v>High Risk</v>
      </c>
    </row>
    <row r="87" spans="1:15" x14ac:dyDescent="0.3">
      <c r="A87" t="s">
        <v>360</v>
      </c>
      <c r="B87" t="s">
        <v>361</v>
      </c>
      <c r="C87">
        <v>1105.8800000000001</v>
      </c>
      <c r="D87" s="1">
        <v>44991.734027777777</v>
      </c>
      <c r="E87" t="s">
        <v>18</v>
      </c>
      <c r="F87" t="s">
        <v>72</v>
      </c>
      <c r="G87" t="s">
        <v>39</v>
      </c>
      <c r="H87">
        <v>34</v>
      </c>
      <c r="I87" t="s">
        <v>32</v>
      </c>
      <c r="J87">
        <v>36</v>
      </c>
      <c r="K87">
        <v>1</v>
      </c>
      <c r="L87">
        <v>2636.32</v>
      </c>
      <c r="M87" s="1">
        <v>45600.34097222222</v>
      </c>
      <c r="N87">
        <f t="shared" si="4"/>
        <v>20</v>
      </c>
      <c r="O87" s="2" t="str">
        <f t="shared" si="5"/>
        <v>High Risk</v>
      </c>
    </row>
    <row r="88" spans="1:15" x14ac:dyDescent="0.3">
      <c r="A88" t="s">
        <v>363</v>
      </c>
      <c r="B88" t="s">
        <v>364</v>
      </c>
      <c r="C88">
        <v>1021.16</v>
      </c>
      <c r="D88" s="1">
        <v>45215.730555555558</v>
      </c>
      <c r="E88" t="s">
        <v>18</v>
      </c>
      <c r="F88" t="s">
        <v>365</v>
      </c>
      <c r="G88" t="s">
        <v>39</v>
      </c>
      <c r="H88">
        <v>20</v>
      </c>
      <c r="I88" t="s">
        <v>24</v>
      </c>
      <c r="J88">
        <v>104</v>
      </c>
      <c r="K88">
        <v>1</v>
      </c>
      <c r="L88">
        <v>9427.06</v>
      </c>
      <c r="M88" s="1">
        <v>45600.338194444441</v>
      </c>
      <c r="N88">
        <f t="shared" si="4"/>
        <v>20</v>
      </c>
      <c r="O88" s="2" t="str">
        <f t="shared" si="5"/>
        <v>High Risk</v>
      </c>
    </row>
    <row r="89" spans="1:15" x14ac:dyDescent="0.3">
      <c r="A89" t="s">
        <v>366</v>
      </c>
      <c r="B89" t="s">
        <v>26</v>
      </c>
      <c r="C89">
        <v>1173.74</v>
      </c>
      <c r="D89" s="1">
        <v>45194.697222222225</v>
      </c>
      <c r="E89" t="s">
        <v>27</v>
      </c>
      <c r="F89" t="s">
        <v>367</v>
      </c>
      <c r="G89" t="s">
        <v>31</v>
      </c>
      <c r="H89">
        <v>61</v>
      </c>
      <c r="I89" t="s">
        <v>47</v>
      </c>
      <c r="J89">
        <v>61</v>
      </c>
      <c r="K89">
        <v>1</v>
      </c>
      <c r="L89">
        <v>10456.24</v>
      </c>
      <c r="M89" s="1">
        <v>45600.338194444441</v>
      </c>
      <c r="N89">
        <f t="shared" si="4"/>
        <v>20</v>
      </c>
      <c r="O89" s="2" t="str">
        <f t="shared" si="5"/>
        <v>High Risk</v>
      </c>
    </row>
    <row r="90" spans="1:15" x14ac:dyDescent="0.3">
      <c r="A90" t="s">
        <v>368</v>
      </c>
      <c r="B90" t="s">
        <v>369</v>
      </c>
      <c r="C90">
        <v>1493</v>
      </c>
      <c r="D90" s="1">
        <v>45084.711805555555</v>
      </c>
      <c r="E90" t="s">
        <v>18</v>
      </c>
      <c r="F90" t="s">
        <v>96</v>
      </c>
      <c r="G90" t="s">
        <v>39</v>
      </c>
      <c r="H90">
        <v>69</v>
      </c>
      <c r="I90" t="s">
        <v>40</v>
      </c>
      <c r="J90">
        <v>151</v>
      </c>
      <c r="K90">
        <v>1</v>
      </c>
      <c r="L90">
        <v>1619.16</v>
      </c>
      <c r="M90" s="1">
        <v>45600.338194444441</v>
      </c>
      <c r="N90">
        <f t="shared" si="4"/>
        <v>50</v>
      </c>
      <c r="O90" s="2" t="str">
        <f t="shared" si="5"/>
        <v>High Risk</v>
      </c>
    </row>
    <row r="91" spans="1:15" x14ac:dyDescent="0.3">
      <c r="A91" t="s">
        <v>372</v>
      </c>
      <c r="B91" t="s">
        <v>373</v>
      </c>
      <c r="C91">
        <v>1664.33</v>
      </c>
      <c r="D91" s="1">
        <v>45194.71597222222</v>
      </c>
      <c r="E91" t="s">
        <v>18</v>
      </c>
      <c r="F91" t="s">
        <v>43</v>
      </c>
      <c r="G91" t="s">
        <v>23</v>
      </c>
      <c r="H91">
        <v>18</v>
      </c>
      <c r="I91" t="s">
        <v>24</v>
      </c>
      <c r="J91">
        <v>65</v>
      </c>
      <c r="K91">
        <v>1</v>
      </c>
      <c r="L91">
        <v>1588.31</v>
      </c>
      <c r="M91" s="1">
        <v>45600.338194444441</v>
      </c>
      <c r="N91">
        <f t="shared" si="4"/>
        <v>0</v>
      </c>
      <c r="O91" s="2" t="str">
        <f t="shared" si="5"/>
        <v>High Risk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20F3-4B35-482C-9B59-A48EC522FA07}">
  <dimension ref="A1:B10"/>
  <sheetViews>
    <sheetView workbookViewId="0">
      <selection sqref="A1:B10"/>
    </sheetView>
  </sheetViews>
  <sheetFormatPr defaultRowHeight="14.4" x14ac:dyDescent="0.3"/>
  <cols>
    <col min="1" max="1" width="11.77734375" bestFit="1" customWidth="1"/>
    <col min="2" max="2" width="17.88671875" bestFit="1" customWidth="1"/>
  </cols>
  <sheetData>
    <row r="1" spans="1:2" x14ac:dyDescent="0.3">
      <c r="A1" t="s">
        <v>1</v>
      </c>
      <c r="B1" t="s">
        <v>377</v>
      </c>
    </row>
    <row r="2" spans="1:2" x14ac:dyDescent="0.3">
      <c r="A2" t="s">
        <v>378</v>
      </c>
      <c r="B2">
        <v>12</v>
      </c>
    </row>
    <row r="3" spans="1:2" x14ac:dyDescent="0.3">
      <c r="A3" t="s">
        <v>297</v>
      </c>
      <c r="B3">
        <v>11</v>
      </c>
    </row>
    <row r="4" spans="1:2" x14ac:dyDescent="0.3">
      <c r="A4" t="s">
        <v>190</v>
      </c>
      <c r="B4">
        <v>11</v>
      </c>
    </row>
    <row r="5" spans="1:2" x14ac:dyDescent="0.3">
      <c r="A5" t="s">
        <v>169</v>
      </c>
      <c r="B5">
        <v>12</v>
      </c>
    </row>
    <row r="6" spans="1:2" x14ac:dyDescent="0.3">
      <c r="A6" t="s">
        <v>379</v>
      </c>
      <c r="B6">
        <v>11</v>
      </c>
    </row>
    <row r="7" spans="1:2" x14ac:dyDescent="0.3">
      <c r="A7" t="s">
        <v>53</v>
      </c>
      <c r="B7">
        <v>12</v>
      </c>
    </row>
    <row r="8" spans="1:2" x14ac:dyDescent="0.3">
      <c r="A8" t="s">
        <v>380</v>
      </c>
      <c r="B8">
        <v>11</v>
      </c>
    </row>
    <row r="9" spans="1:2" x14ac:dyDescent="0.3">
      <c r="A9" t="s">
        <v>323</v>
      </c>
      <c r="B9">
        <v>11</v>
      </c>
    </row>
    <row r="10" spans="1:2" x14ac:dyDescent="0.3">
      <c r="A10" t="s">
        <v>381</v>
      </c>
      <c r="B10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2BE9-8E03-4528-ADFE-D7C60AA2E94C}">
  <dimension ref="A1:P139"/>
  <sheetViews>
    <sheetView workbookViewId="0"/>
  </sheetViews>
  <sheetFormatPr defaultRowHeight="14.4" x14ac:dyDescent="0.3"/>
  <cols>
    <col min="1" max="1" width="14.6640625" bestFit="1" customWidth="1"/>
    <col min="2" max="2" width="11.77734375" bestFit="1" customWidth="1"/>
    <col min="3" max="3" width="19.5546875" bestFit="1" customWidth="1"/>
    <col min="4" max="5" width="16.88671875" bestFit="1" customWidth="1"/>
    <col min="6" max="6" width="14.6640625" bestFit="1" customWidth="1"/>
    <col min="7" max="7" width="10.6640625" bestFit="1" customWidth="1"/>
    <col min="8" max="8" width="14.77734375" bestFit="1" customWidth="1"/>
    <col min="9" max="9" width="12.77734375" bestFit="1" customWidth="1"/>
    <col min="10" max="10" width="10" bestFit="1" customWidth="1"/>
    <col min="11" max="11" width="14.33203125" bestFit="1" customWidth="1"/>
    <col min="12" max="12" width="21.21875" bestFit="1" customWidth="1"/>
    <col min="13" max="13" width="20.21875" bestFit="1" customWidth="1"/>
    <col min="14" max="14" width="15.44140625" bestFit="1" customWidth="1"/>
    <col min="15" max="15" width="16.77734375" bestFit="1" customWidth="1"/>
    <col min="16" max="16" width="24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620</v>
      </c>
      <c r="B2" t="s">
        <v>415</v>
      </c>
      <c r="C2">
        <v>781.76</v>
      </c>
      <c r="D2" s="1">
        <v>45250.693749999999</v>
      </c>
      <c r="E2" t="s">
        <v>18</v>
      </c>
      <c r="F2" t="s">
        <v>258</v>
      </c>
      <c r="G2" t="s">
        <v>621</v>
      </c>
      <c r="H2" t="s">
        <v>21</v>
      </c>
      <c r="I2" t="s">
        <v>622</v>
      </c>
      <c r="J2" t="s">
        <v>39</v>
      </c>
      <c r="K2">
        <v>26</v>
      </c>
      <c r="L2" t="s">
        <v>24</v>
      </c>
      <c r="M2">
        <v>123</v>
      </c>
      <c r="N2">
        <v>1</v>
      </c>
      <c r="O2">
        <v>189.69</v>
      </c>
      <c r="P2" s="1">
        <v>45600.338194444441</v>
      </c>
    </row>
    <row r="3" spans="1:16" x14ac:dyDescent="0.3">
      <c r="A3" t="s">
        <v>635</v>
      </c>
      <c r="B3" t="s">
        <v>624</v>
      </c>
      <c r="C3">
        <v>877.81</v>
      </c>
      <c r="D3" s="1">
        <v>44998.724305555559</v>
      </c>
      <c r="E3" t="s">
        <v>18</v>
      </c>
      <c r="F3" t="s">
        <v>181</v>
      </c>
      <c r="G3" t="s">
        <v>636</v>
      </c>
      <c r="H3" t="s">
        <v>637</v>
      </c>
      <c r="I3" t="s">
        <v>609</v>
      </c>
      <c r="J3" t="s">
        <v>31</v>
      </c>
      <c r="K3">
        <v>22</v>
      </c>
      <c r="L3" t="s">
        <v>24</v>
      </c>
      <c r="M3">
        <v>150</v>
      </c>
      <c r="N3">
        <v>1</v>
      </c>
      <c r="O3">
        <v>399</v>
      </c>
      <c r="P3" s="1">
        <v>45600.338194444441</v>
      </c>
    </row>
    <row r="4" spans="1:16" x14ac:dyDescent="0.3">
      <c r="A4" t="s">
        <v>639</v>
      </c>
      <c r="B4" t="s">
        <v>640</v>
      </c>
      <c r="C4">
        <v>626.9</v>
      </c>
      <c r="D4" s="1">
        <v>45257.697916666664</v>
      </c>
      <c r="E4" t="s">
        <v>18</v>
      </c>
      <c r="F4" t="s">
        <v>78</v>
      </c>
      <c r="G4" t="s">
        <v>641</v>
      </c>
      <c r="H4" t="s">
        <v>642</v>
      </c>
      <c r="I4" t="s">
        <v>428</v>
      </c>
      <c r="J4" t="s">
        <v>31</v>
      </c>
      <c r="K4">
        <v>26</v>
      </c>
      <c r="L4" t="s">
        <v>24</v>
      </c>
      <c r="M4">
        <v>138</v>
      </c>
      <c r="N4">
        <v>1</v>
      </c>
      <c r="O4">
        <v>265.51</v>
      </c>
      <c r="P4" s="1">
        <v>45600.338194444441</v>
      </c>
    </row>
    <row r="5" spans="1:16" x14ac:dyDescent="0.3">
      <c r="A5" t="s">
        <v>16</v>
      </c>
      <c r="B5" t="s">
        <v>17</v>
      </c>
      <c r="C5">
        <v>1212.51</v>
      </c>
      <c r="D5" s="1">
        <v>45203.691666666666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>
        <v>20</v>
      </c>
      <c r="L5" t="s">
        <v>24</v>
      </c>
      <c r="M5">
        <v>24</v>
      </c>
      <c r="N5">
        <v>1</v>
      </c>
      <c r="O5">
        <v>605.95000000000005</v>
      </c>
      <c r="P5" s="1">
        <v>45600.337500000001</v>
      </c>
    </row>
    <row r="6" spans="1:16" x14ac:dyDescent="0.3">
      <c r="A6" t="s">
        <v>387</v>
      </c>
      <c r="B6" t="s">
        <v>388</v>
      </c>
      <c r="C6">
        <v>223.85</v>
      </c>
      <c r="D6" s="1">
        <v>45201.691666666666</v>
      </c>
      <c r="E6" t="s">
        <v>18</v>
      </c>
      <c r="F6" t="s">
        <v>66</v>
      </c>
      <c r="G6" t="s">
        <v>389</v>
      </c>
      <c r="H6" t="s">
        <v>390</v>
      </c>
      <c r="I6" t="s">
        <v>137</v>
      </c>
      <c r="J6" t="s">
        <v>39</v>
      </c>
      <c r="K6">
        <v>53</v>
      </c>
      <c r="L6" t="s">
        <v>32</v>
      </c>
      <c r="M6">
        <v>55</v>
      </c>
      <c r="N6">
        <v>4</v>
      </c>
      <c r="O6">
        <v>2929.91</v>
      </c>
      <c r="P6" s="1">
        <v>45600.338888888888</v>
      </c>
    </row>
    <row r="7" spans="1:16" x14ac:dyDescent="0.3">
      <c r="A7" t="s">
        <v>662</v>
      </c>
      <c r="B7" t="s">
        <v>663</v>
      </c>
      <c r="C7">
        <v>756.59</v>
      </c>
      <c r="D7" s="1">
        <v>44991.699305555558</v>
      </c>
      <c r="E7" t="s">
        <v>18</v>
      </c>
      <c r="F7" t="s">
        <v>560</v>
      </c>
      <c r="G7" t="s">
        <v>664</v>
      </c>
      <c r="H7" t="s">
        <v>665</v>
      </c>
      <c r="I7" t="s">
        <v>30</v>
      </c>
      <c r="J7" t="s">
        <v>23</v>
      </c>
      <c r="K7">
        <v>27</v>
      </c>
      <c r="L7" t="s">
        <v>24</v>
      </c>
      <c r="M7">
        <v>17</v>
      </c>
      <c r="N7">
        <v>1</v>
      </c>
      <c r="O7">
        <v>420.65</v>
      </c>
      <c r="P7" s="1">
        <v>45600.34097222222</v>
      </c>
    </row>
    <row r="8" spans="1:16" x14ac:dyDescent="0.3">
      <c r="A8" t="s">
        <v>666</v>
      </c>
      <c r="B8" t="s">
        <v>145</v>
      </c>
      <c r="C8">
        <v>503.76</v>
      </c>
      <c r="D8" s="1">
        <v>45257.772222222222</v>
      </c>
      <c r="E8" t="s">
        <v>18</v>
      </c>
      <c r="F8" t="s">
        <v>181</v>
      </c>
      <c r="G8" t="s">
        <v>667</v>
      </c>
      <c r="H8" t="s">
        <v>668</v>
      </c>
      <c r="I8" t="s">
        <v>631</v>
      </c>
      <c r="J8" t="s">
        <v>31</v>
      </c>
      <c r="K8">
        <v>22</v>
      </c>
      <c r="L8" t="s">
        <v>24</v>
      </c>
      <c r="M8">
        <v>35</v>
      </c>
      <c r="N8">
        <v>1</v>
      </c>
      <c r="O8">
        <v>447.82</v>
      </c>
      <c r="P8" s="1">
        <v>45600.339583333334</v>
      </c>
    </row>
    <row r="9" spans="1:16" x14ac:dyDescent="0.3">
      <c r="A9" t="s">
        <v>674</v>
      </c>
      <c r="B9" t="s">
        <v>675</v>
      </c>
      <c r="C9">
        <v>317.87</v>
      </c>
      <c r="D9" s="1">
        <v>45068.728472222225</v>
      </c>
      <c r="E9" t="s">
        <v>18</v>
      </c>
      <c r="F9" t="s">
        <v>50</v>
      </c>
      <c r="G9" t="s">
        <v>676</v>
      </c>
      <c r="H9" t="s">
        <v>677</v>
      </c>
      <c r="I9" t="s">
        <v>235</v>
      </c>
      <c r="J9" t="s">
        <v>31</v>
      </c>
      <c r="K9">
        <v>27</v>
      </c>
      <c r="L9" t="s">
        <v>24</v>
      </c>
      <c r="M9">
        <v>91</v>
      </c>
      <c r="N9">
        <v>1</v>
      </c>
      <c r="O9">
        <v>145.5</v>
      </c>
      <c r="P9" s="1">
        <v>45600.34097222222</v>
      </c>
    </row>
    <row r="10" spans="1:16" x14ac:dyDescent="0.3">
      <c r="A10" t="s">
        <v>391</v>
      </c>
      <c r="B10" t="s">
        <v>122</v>
      </c>
      <c r="C10">
        <v>514.95000000000005</v>
      </c>
      <c r="D10" s="1">
        <v>45029.775694444441</v>
      </c>
      <c r="E10" t="s">
        <v>18</v>
      </c>
      <c r="F10" t="s">
        <v>287</v>
      </c>
      <c r="G10" t="s">
        <v>392</v>
      </c>
      <c r="H10" t="s">
        <v>393</v>
      </c>
      <c r="I10" t="s">
        <v>394</v>
      </c>
      <c r="J10" t="s">
        <v>31</v>
      </c>
      <c r="K10">
        <v>41</v>
      </c>
      <c r="L10" t="s">
        <v>47</v>
      </c>
      <c r="M10">
        <v>142</v>
      </c>
      <c r="N10">
        <v>5</v>
      </c>
      <c r="O10">
        <v>421.93</v>
      </c>
      <c r="P10" s="1">
        <v>45600.340277777781</v>
      </c>
    </row>
    <row r="11" spans="1:16" x14ac:dyDescent="0.3">
      <c r="A11" t="s">
        <v>684</v>
      </c>
      <c r="B11" t="s">
        <v>685</v>
      </c>
      <c r="C11">
        <v>231.91</v>
      </c>
      <c r="D11" s="1">
        <v>44957.771527777775</v>
      </c>
      <c r="E11" t="s">
        <v>18</v>
      </c>
      <c r="F11" t="s">
        <v>258</v>
      </c>
      <c r="G11" t="s">
        <v>686</v>
      </c>
      <c r="H11" t="s">
        <v>687</v>
      </c>
      <c r="I11" t="s">
        <v>638</v>
      </c>
      <c r="J11" t="s">
        <v>39</v>
      </c>
      <c r="K11">
        <v>34</v>
      </c>
      <c r="L11" t="s">
        <v>32</v>
      </c>
      <c r="M11">
        <v>165</v>
      </c>
      <c r="N11">
        <v>1</v>
      </c>
      <c r="O11">
        <v>112.76</v>
      </c>
      <c r="P11" s="1">
        <v>45600.341666666667</v>
      </c>
    </row>
    <row r="12" spans="1:16" x14ac:dyDescent="0.3">
      <c r="A12" t="s">
        <v>690</v>
      </c>
      <c r="B12" t="s">
        <v>250</v>
      </c>
      <c r="C12">
        <v>792.57</v>
      </c>
      <c r="D12" s="1">
        <v>45068.681944444441</v>
      </c>
      <c r="E12" t="s">
        <v>18</v>
      </c>
      <c r="F12" t="s">
        <v>178</v>
      </c>
      <c r="G12" t="s">
        <v>691</v>
      </c>
      <c r="H12" t="s">
        <v>692</v>
      </c>
      <c r="I12" t="s">
        <v>625</v>
      </c>
      <c r="J12" t="s">
        <v>39</v>
      </c>
      <c r="K12">
        <v>19</v>
      </c>
      <c r="L12" t="s">
        <v>24</v>
      </c>
      <c r="M12">
        <v>164</v>
      </c>
      <c r="N12">
        <v>1</v>
      </c>
      <c r="O12">
        <v>770.37</v>
      </c>
      <c r="P12" s="1">
        <v>45600.340277777781</v>
      </c>
    </row>
    <row r="13" spans="1:16" x14ac:dyDescent="0.3">
      <c r="A13" t="s">
        <v>697</v>
      </c>
      <c r="B13" t="s">
        <v>698</v>
      </c>
      <c r="C13">
        <v>280.57</v>
      </c>
      <c r="D13" s="1">
        <v>44953.732638888891</v>
      </c>
      <c r="E13" t="s">
        <v>27</v>
      </c>
      <c r="F13" t="s">
        <v>367</v>
      </c>
      <c r="G13" t="s">
        <v>699</v>
      </c>
      <c r="H13" t="s">
        <v>700</v>
      </c>
      <c r="I13" t="s">
        <v>403</v>
      </c>
      <c r="J13" t="s">
        <v>31</v>
      </c>
      <c r="K13">
        <v>25</v>
      </c>
      <c r="L13" t="s">
        <v>24</v>
      </c>
      <c r="M13">
        <v>24</v>
      </c>
      <c r="N13">
        <v>1</v>
      </c>
      <c r="O13">
        <v>293.24</v>
      </c>
      <c r="P13" s="1">
        <v>45600.340277777781</v>
      </c>
    </row>
    <row r="14" spans="1:16" x14ac:dyDescent="0.3">
      <c r="A14" t="s">
        <v>709</v>
      </c>
      <c r="B14" t="s">
        <v>710</v>
      </c>
      <c r="C14">
        <v>506.24</v>
      </c>
      <c r="D14" s="1">
        <v>44939.697222222225</v>
      </c>
      <c r="E14" t="s">
        <v>18</v>
      </c>
      <c r="F14" t="s">
        <v>550</v>
      </c>
      <c r="G14" t="s">
        <v>711</v>
      </c>
      <c r="H14" t="s">
        <v>712</v>
      </c>
      <c r="I14" t="s">
        <v>38</v>
      </c>
      <c r="J14" t="s">
        <v>39</v>
      </c>
      <c r="K14">
        <v>58</v>
      </c>
      <c r="L14" t="s">
        <v>32</v>
      </c>
      <c r="M14">
        <v>64</v>
      </c>
      <c r="N14">
        <v>1</v>
      </c>
      <c r="O14">
        <v>230.09</v>
      </c>
      <c r="P14" s="1">
        <v>45600.34097222222</v>
      </c>
    </row>
    <row r="15" spans="1:16" x14ac:dyDescent="0.3">
      <c r="A15" t="s">
        <v>713</v>
      </c>
      <c r="B15" t="s">
        <v>644</v>
      </c>
      <c r="C15">
        <v>581.65</v>
      </c>
      <c r="D15" s="1">
        <v>44935.70416666667</v>
      </c>
      <c r="E15" t="s">
        <v>18</v>
      </c>
      <c r="F15" t="s">
        <v>298</v>
      </c>
      <c r="G15" t="s">
        <v>688</v>
      </c>
      <c r="H15" t="s">
        <v>714</v>
      </c>
      <c r="I15" t="s">
        <v>137</v>
      </c>
      <c r="J15" t="s">
        <v>39</v>
      </c>
      <c r="K15">
        <v>22</v>
      </c>
      <c r="L15" t="s">
        <v>24</v>
      </c>
      <c r="M15">
        <v>176</v>
      </c>
      <c r="N15">
        <v>1</v>
      </c>
      <c r="O15">
        <v>480.19</v>
      </c>
      <c r="P15" s="1">
        <v>45600.339583333334</v>
      </c>
    </row>
    <row r="16" spans="1:16" x14ac:dyDescent="0.3">
      <c r="A16" t="s">
        <v>715</v>
      </c>
      <c r="B16" t="s">
        <v>650</v>
      </c>
      <c r="C16">
        <v>630.24</v>
      </c>
      <c r="D16" s="1">
        <v>45259.756944444445</v>
      </c>
      <c r="E16" t="s">
        <v>18</v>
      </c>
      <c r="F16" t="s">
        <v>298</v>
      </c>
      <c r="G16" t="s">
        <v>651</v>
      </c>
      <c r="H16" t="s">
        <v>716</v>
      </c>
      <c r="I16" t="s">
        <v>202</v>
      </c>
      <c r="J16" t="s">
        <v>39</v>
      </c>
      <c r="K16">
        <v>21</v>
      </c>
      <c r="L16" t="s">
        <v>24</v>
      </c>
      <c r="M16">
        <v>62</v>
      </c>
      <c r="N16">
        <v>1</v>
      </c>
      <c r="O16">
        <v>370.81</v>
      </c>
      <c r="P16" s="1">
        <v>45600.34097222222</v>
      </c>
    </row>
    <row r="17" spans="1:16" x14ac:dyDescent="0.3">
      <c r="A17" t="s">
        <v>721</v>
      </c>
      <c r="B17" t="s">
        <v>722</v>
      </c>
      <c r="C17">
        <v>842.01</v>
      </c>
      <c r="D17" s="1">
        <v>45181.696527777778</v>
      </c>
      <c r="E17" t="s">
        <v>27</v>
      </c>
      <c r="F17" t="s">
        <v>367</v>
      </c>
      <c r="G17" t="s">
        <v>723</v>
      </c>
      <c r="H17" t="s">
        <v>136</v>
      </c>
      <c r="I17" t="s">
        <v>111</v>
      </c>
      <c r="J17" t="s">
        <v>31</v>
      </c>
      <c r="K17">
        <v>53</v>
      </c>
      <c r="L17" t="s">
        <v>47</v>
      </c>
      <c r="M17">
        <v>185</v>
      </c>
      <c r="N17">
        <v>1</v>
      </c>
      <c r="O17">
        <v>509.45</v>
      </c>
      <c r="P17" s="1">
        <v>45600.338888888888</v>
      </c>
    </row>
    <row r="18" spans="1:16" x14ac:dyDescent="0.3">
      <c r="A18" t="s">
        <v>725</v>
      </c>
      <c r="B18" t="s">
        <v>726</v>
      </c>
      <c r="C18">
        <v>312.88</v>
      </c>
      <c r="D18" s="1">
        <v>45072.758333333331</v>
      </c>
      <c r="E18" t="s">
        <v>27</v>
      </c>
      <c r="F18" t="s">
        <v>146</v>
      </c>
      <c r="G18" t="s">
        <v>694</v>
      </c>
      <c r="H18" t="s">
        <v>727</v>
      </c>
      <c r="I18" t="s">
        <v>628</v>
      </c>
      <c r="J18" t="s">
        <v>23</v>
      </c>
      <c r="K18">
        <v>54</v>
      </c>
      <c r="L18" t="s">
        <v>32</v>
      </c>
      <c r="M18">
        <v>44</v>
      </c>
      <c r="N18">
        <v>1</v>
      </c>
      <c r="O18">
        <v>233.21</v>
      </c>
      <c r="P18" s="1">
        <v>45600.338194444441</v>
      </c>
    </row>
    <row r="19" spans="1:16" x14ac:dyDescent="0.3">
      <c r="A19" t="s">
        <v>64</v>
      </c>
      <c r="B19" t="s">
        <v>65</v>
      </c>
      <c r="C19">
        <v>1176.28</v>
      </c>
      <c r="D19" s="1">
        <v>45280.672222222223</v>
      </c>
      <c r="E19" t="s">
        <v>27</v>
      </c>
      <c r="F19" t="s">
        <v>66</v>
      </c>
      <c r="G19" t="s">
        <v>67</v>
      </c>
      <c r="H19" t="s">
        <v>68</v>
      </c>
      <c r="I19" t="s">
        <v>69</v>
      </c>
      <c r="J19" t="s">
        <v>39</v>
      </c>
      <c r="K19">
        <v>54</v>
      </c>
      <c r="L19" t="s">
        <v>32</v>
      </c>
      <c r="M19">
        <v>174</v>
      </c>
      <c r="N19">
        <v>5</v>
      </c>
      <c r="O19">
        <v>323.69</v>
      </c>
      <c r="P19" s="1">
        <v>45600.34097222222</v>
      </c>
    </row>
    <row r="20" spans="1:16" x14ac:dyDescent="0.3">
      <c r="A20" t="s">
        <v>70</v>
      </c>
      <c r="B20" t="s">
        <v>71</v>
      </c>
      <c r="C20">
        <v>1036.21</v>
      </c>
      <c r="D20" s="1">
        <v>45128.787499999999</v>
      </c>
      <c r="E20" t="s">
        <v>18</v>
      </c>
      <c r="F20" t="s">
        <v>72</v>
      </c>
      <c r="G20" t="s">
        <v>73</v>
      </c>
      <c r="H20" t="s">
        <v>74</v>
      </c>
      <c r="I20" t="s">
        <v>75</v>
      </c>
      <c r="J20" t="s">
        <v>31</v>
      </c>
      <c r="K20">
        <v>25</v>
      </c>
      <c r="L20" t="s">
        <v>24</v>
      </c>
      <c r="M20">
        <v>126</v>
      </c>
      <c r="N20">
        <v>1</v>
      </c>
      <c r="O20">
        <v>477.3</v>
      </c>
      <c r="P20" s="1">
        <v>45600.341666666667</v>
      </c>
    </row>
    <row r="21" spans="1:16" x14ac:dyDescent="0.3">
      <c r="A21" t="s">
        <v>76</v>
      </c>
      <c r="B21" t="s">
        <v>77</v>
      </c>
      <c r="C21">
        <v>1221.6500000000001</v>
      </c>
      <c r="D21" s="1">
        <v>45196.704861111109</v>
      </c>
      <c r="E21" t="s">
        <v>18</v>
      </c>
      <c r="F21" t="s">
        <v>78</v>
      </c>
      <c r="G21" t="s">
        <v>79</v>
      </c>
      <c r="H21" t="s">
        <v>80</v>
      </c>
      <c r="I21" t="s">
        <v>81</v>
      </c>
      <c r="J21" t="s">
        <v>31</v>
      </c>
      <c r="K21">
        <v>27</v>
      </c>
      <c r="L21" t="s">
        <v>24</v>
      </c>
      <c r="M21">
        <v>153</v>
      </c>
      <c r="N21">
        <v>1</v>
      </c>
      <c r="O21">
        <v>243.92</v>
      </c>
      <c r="P21" s="1">
        <v>45600.340277777781</v>
      </c>
    </row>
    <row r="22" spans="1:16" x14ac:dyDescent="0.3">
      <c r="A22" t="s">
        <v>741</v>
      </c>
      <c r="B22" t="s">
        <v>388</v>
      </c>
      <c r="C22">
        <v>350.94</v>
      </c>
      <c r="D22" s="1">
        <v>45229.720138888886</v>
      </c>
      <c r="E22" t="s">
        <v>18</v>
      </c>
      <c r="F22" t="s">
        <v>96</v>
      </c>
      <c r="G22" t="s">
        <v>742</v>
      </c>
      <c r="H22" t="s">
        <v>565</v>
      </c>
      <c r="I22" t="s">
        <v>93</v>
      </c>
      <c r="J22" t="s">
        <v>39</v>
      </c>
      <c r="K22">
        <v>20</v>
      </c>
      <c r="L22" t="s">
        <v>24</v>
      </c>
      <c r="M22">
        <v>64</v>
      </c>
      <c r="N22">
        <v>1</v>
      </c>
      <c r="O22">
        <v>221.56</v>
      </c>
      <c r="P22" s="1">
        <v>45600.340277777781</v>
      </c>
    </row>
    <row r="23" spans="1:16" x14ac:dyDescent="0.3">
      <c r="A23" t="s">
        <v>745</v>
      </c>
      <c r="B23" t="s">
        <v>746</v>
      </c>
      <c r="C23">
        <v>626.9</v>
      </c>
      <c r="D23" s="1">
        <v>45209.695833333331</v>
      </c>
      <c r="E23" t="s">
        <v>18</v>
      </c>
      <c r="F23" t="s">
        <v>550</v>
      </c>
      <c r="G23" t="s">
        <v>747</v>
      </c>
      <c r="H23" t="s">
        <v>748</v>
      </c>
      <c r="I23" t="s">
        <v>403</v>
      </c>
      <c r="J23" t="s">
        <v>39</v>
      </c>
      <c r="K23">
        <v>23</v>
      </c>
      <c r="L23" t="s">
        <v>24</v>
      </c>
      <c r="M23">
        <v>146</v>
      </c>
      <c r="N23">
        <v>1</v>
      </c>
      <c r="O23">
        <v>587.11</v>
      </c>
      <c r="P23" s="1">
        <v>45600.34097222222</v>
      </c>
    </row>
    <row r="24" spans="1:16" x14ac:dyDescent="0.3">
      <c r="A24" t="s">
        <v>757</v>
      </c>
      <c r="B24" t="s">
        <v>77</v>
      </c>
      <c r="C24">
        <v>268.39</v>
      </c>
      <c r="D24" s="1">
        <v>45103.767361111109</v>
      </c>
      <c r="E24" t="s">
        <v>18</v>
      </c>
      <c r="F24" t="s">
        <v>140</v>
      </c>
      <c r="G24" t="s">
        <v>44</v>
      </c>
      <c r="H24" t="s">
        <v>616</v>
      </c>
      <c r="I24" t="s">
        <v>403</v>
      </c>
      <c r="J24" t="s">
        <v>39</v>
      </c>
      <c r="K24">
        <v>26</v>
      </c>
      <c r="L24" t="s">
        <v>24</v>
      </c>
      <c r="M24">
        <v>171</v>
      </c>
      <c r="N24">
        <v>1</v>
      </c>
      <c r="O24">
        <v>136.74</v>
      </c>
      <c r="P24" s="1">
        <v>45600.337500000001</v>
      </c>
    </row>
    <row r="25" spans="1:16" x14ac:dyDescent="0.3">
      <c r="A25" t="s">
        <v>94</v>
      </c>
      <c r="B25" t="s">
        <v>95</v>
      </c>
      <c r="C25">
        <v>1096.7</v>
      </c>
      <c r="D25" s="1">
        <v>45012.70208333333</v>
      </c>
      <c r="E25" t="s">
        <v>18</v>
      </c>
      <c r="F25" t="s">
        <v>96</v>
      </c>
      <c r="G25" t="s">
        <v>97</v>
      </c>
      <c r="H25" t="s">
        <v>98</v>
      </c>
      <c r="I25" t="s">
        <v>99</v>
      </c>
      <c r="J25" t="s">
        <v>31</v>
      </c>
      <c r="K25">
        <v>24</v>
      </c>
      <c r="L25" t="s">
        <v>24</v>
      </c>
      <c r="M25">
        <v>147</v>
      </c>
      <c r="N25">
        <v>1</v>
      </c>
      <c r="O25">
        <v>1093.8900000000001</v>
      </c>
      <c r="P25" s="1">
        <v>45600.34097222222</v>
      </c>
    </row>
    <row r="26" spans="1:16" x14ac:dyDescent="0.3">
      <c r="A26" t="s">
        <v>764</v>
      </c>
      <c r="B26" t="s">
        <v>685</v>
      </c>
      <c r="C26">
        <v>677.29</v>
      </c>
      <c r="D26" s="1">
        <v>45047.769444444442</v>
      </c>
      <c r="E26" t="s">
        <v>18</v>
      </c>
      <c r="F26" t="s">
        <v>88</v>
      </c>
      <c r="G26" t="s">
        <v>749</v>
      </c>
      <c r="H26" t="s">
        <v>765</v>
      </c>
      <c r="I26" t="s">
        <v>111</v>
      </c>
      <c r="J26" t="s">
        <v>31</v>
      </c>
      <c r="K26">
        <v>27</v>
      </c>
      <c r="L26" t="s">
        <v>32</v>
      </c>
      <c r="M26">
        <v>287</v>
      </c>
      <c r="N26">
        <v>1</v>
      </c>
      <c r="O26">
        <v>627.79</v>
      </c>
      <c r="P26" s="1">
        <v>45600.338194444441</v>
      </c>
    </row>
    <row r="27" spans="1:16" x14ac:dyDescent="0.3">
      <c r="A27" t="s">
        <v>770</v>
      </c>
      <c r="B27" t="s">
        <v>771</v>
      </c>
      <c r="C27">
        <v>689.29</v>
      </c>
      <c r="D27" s="1">
        <v>44932.729166666664</v>
      </c>
      <c r="E27" t="s">
        <v>18</v>
      </c>
      <c r="F27" t="s">
        <v>54</v>
      </c>
      <c r="G27" t="s">
        <v>772</v>
      </c>
      <c r="H27" t="s">
        <v>338</v>
      </c>
      <c r="I27" t="s">
        <v>245</v>
      </c>
      <c r="J27" t="s">
        <v>39</v>
      </c>
      <c r="K27">
        <v>22</v>
      </c>
      <c r="L27" t="s">
        <v>24</v>
      </c>
      <c r="M27">
        <v>100</v>
      </c>
      <c r="N27">
        <v>1</v>
      </c>
      <c r="O27">
        <v>168.84</v>
      </c>
      <c r="P27" s="1">
        <v>45600.338194444441</v>
      </c>
    </row>
    <row r="28" spans="1:16" x14ac:dyDescent="0.3">
      <c r="A28" t="s">
        <v>773</v>
      </c>
      <c r="B28" t="s">
        <v>409</v>
      </c>
      <c r="C28">
        <v>745.03</v>
      </c>
      <c r="D28" s="1">
        <v>45141.737500000003</v>
      </c>
      <c r="E28" t="s">
        <v>18</v>
      </c>
      <c r="F28" t="s">
        <v>131</v>
      </c>
      <c r="G28" t="s">
        <v>774</v>
      </c>
      <c r="H28" t="s">
        <v>763</v>
      </c>
      <c r="I28" t="s">
        <v>252</v>
      </c>
      <c r="J28" t="s">
        <v>31</v>
      </c>
      <c r="K28">
        <v>28</v>
      </c>
      <c r="L28" t="s">
        <v>24</v>
      </c>
      <c r="M28">
        <v>231</v>
      </c>
      <c r="N28">
        <v>1</v>
      </c>
      <c r="O28">
        <v>160.57</v>
      </c>
      <c r="P28" s="1">
        <v>45600.339583333334</v>
      </c>
    </row>
    <row r="29" spans="1:16" x14ac:dyDescent="0.3">
      <c r="A29" t="s">
        <v>777</v>
      </c>
      <c r="B29" t="s">
        <v>778</v>
      </c>
      <c r="C29">
        <v>423.11</v>
      </c>
      <c r="D29" s="1">
        <v>45132.77847222222</v>
      </c>
      <c r="E29" t="s">
        <v>18</v>
      </c>
      <c r="F29" t="s">
        <v>35</v>
      </c>
      <c r="G29" t="s">
        <v>92</v>
      </c>
      <c r="H29" t="s">
        <v>751</v>
      </c>
      <c r="I29" t="s">
        <v>153</v>
      </c>
      <c r="J29" t="s">
        <v>39</v>
      </c>
      <c r="K29">
        <v>60</v>
      </c>
      <c r="L29" t="s">
        <v>32</v>
      </c>
      <c r="M29">
        <v>47</v>
      </c>
      <c r="N29">
        <v>1</v>
      </c>
      <c r="O29">
        <v>412.78</v>
      </c>
      <c r="P29" s="1">
        <v>45600.340277777781</v>
      </c>
    </row>
    <row r="30" spans="1:16" x14ac:dyDescent="0.3">
      <c r="A30" t="s">
        <v>103</v>
      </c>
      <c r="B30" t="s">
        <v>104</v>
      </c>
      <c r="C30">
        <v>1431.3</v>
      </c>
      <c r="D30" s="1">
        <v>45173.781944444447</v>
      </c>
      <c r="E30" t="s">
        <v>18</v>
      </c>
      <c r="F30" t="s">
        <v>105</v>
      </c>
      <c r="G30" t="s">
        <v>106</v>
      </c>
      <c r="H30" t="s">
        <v>107</v>
      </c>
      <c r="I30" t="s">
        <v>85</v>
      </c>
      <c r="J30" t="s">
        <v>39</v>
      </c>
      <c r="K30">
        <v>18</v>
      </c>
      <c r="L30" t="s">
        <v>24</v>
      </c>
      <c r="M30">
        <v>168</v>
      </c>
      <c r="N30">
        <v>1</v>
      </c>
      <c r="O30">
        <v>1058.1300000000001</v>
      </c>
      <c r="P30" s="1">
        <v>45600.34097222222</v>
      </c>
    </row>
    <row r="31" spans="1:16" x14ac:dyDescent="0.3">
      <c r="A31" t="s">
        <v>780</v>
      </c>
      <c r="B31" t="s">
        <v>229</v>
      </c>
      <c r="C31">
        <v>710.14</v>
      </c>
      <c r="D31" s="1">
        <v>44993.680555555555</v>
      </c>
      <c r="E31" t="s">
        <v>18</v>
      </c>
      <c r="F31" t="s">
        <v>54</v>
      </c>
      <c r="G31" t="s">
        <v>781</v>
      </c>
      <c r="H31" t="s">
        <v>80</v>
      </c>
      <c r="I31" t="s">
        <v>625</v>
      </c>
      <c r="J31" t="s">
        <v>39</v>
      </c>
      <c r="K31">
        <v>26</v>
      </c>
      <c r="L31" t="s">
        <v>24</v>
      </c>
      <c r="M31">
        <v>227</v>
      </c>
      <c r="N31">
        <v>1</v>
      </c>
      <c r="O31">
        <v>465.63</v>
      </c>
      <c r="P31" s="1">
        <v>45600.341666666667</v>
      </c>
    </row>
    <row r="32" spans="1:16" x14ac:dyDescent="0.3">
      <c r="A32" t="s">
        <v>783</v>
      </c>
      <c r="B32" t="s">
        <v>588</v>
      </c>
      <c r="C32">
        <v>634.86</v>
      </c>
      <c r="D32" s="1">
        <v>45148.686111111114</v>
      </c>
      <c r="E32" t="s">
        <v>18</v>
      </c>
      <c r="F32" t="s">
        <v>550</v>
      </c>
      <c r="G32" t="s">
        <v>740</v>
      </c>
      <c r="H32" t="s">
        <v>784</v>
      </c>
      <c r="I32" t="s">
        <v>137</v>
      </c>
      <c r="J32" t="s">
        <v>39</v>
      </c>
      <c r="K32">
        <v>27</v>
      </c>
      <c r="L32" t="s">
        <v>24</v>
      </c>
      <c r="M32">
        <v>45</v>
      </c>
      <c r="N32">
        <v>1</v>
      </c>
      <c r="O32">
        <v>588.5</v>
      </c>
      <c r="P32" s="1">
        <v>45600.338888888888</v>
      </c>
    </row>
    <row r="33" spans="1:16" x14ac:dyDescent="0.3">
      <c r="A33" t="s">
        <v>112</v>
      </c>
      <c r="B33" t="s">
        <v>113</v>
      </c>
      <c r="C33">
        <v>1116.48</v>
      </c>
      <c r="D33" s="1">
        <v>45187.738888888889</v>
      </c>
      <c r="E33" t="s">
        <v>18</v>
      </c>
      <c r="F33" t="s">
        <v>114</v>
      </c>
      <c r="G33" t="s">
        <v>115</v>
      </c>
      <c r="H33" t="s">
        <v>116</v>
      </c>
      <c r="I33" t="s">
        <v>117</v>
      </c>
      <c r="J33" t="s">
        <v>39</v>
      </c>
      <c r="K33">
        <v>51</v>
      </c>
      <c r="L33" t="s">
        <v>32</v>
      </c>
      <c r="M33">
        <v>55</v>
      </c>
      <c r="N33">
        <v>1</v>
      </c>
      <c r="O33">
        <v>447.53</v>
      </c>
      <c r="P33" s="1">
        <v>45600.34097222222</v>
      </c>
    </row>
    <row r="34" spans="1:16" x14ac:dyDescent="0.3">
      <c r="A34" t="s">
        <v>788</v>
      </c>
      <c r="B34" t="s">
        <v>634</v>
      </c>
      <c r="C34">
        <v>660.02</v>
      </c>
      <c r="D34" s="1">
        <v>45211.706250000003</v>
      </c>
      <c r="E34" t="s">
        <v>18</v>
      </c>
      <c r="F34" t="s">
        <v>110</v>
      </c>
      <c r="G34" t="s">
        <v>648</v>
      </c>
      <c r="H34" t="s">
        <v>37</v>
      </c>
      <c r="I34" t="s">
        <v>299</v>
      </c>
      <c r="J34" t="s">
        <v>23</v>
      </c>
      <c r="K34">
        <v>20</v>
      </c>
      <c r="L34" t="s">
        <v>24</v>
      </c>
      <c r="M34">
        <v>84</v>
      </c>
      <c r="N34">
        <v>1</v>
      </c>
      <c r="O34">
        <v>414.43</v>
      </c>
      <c r="P34" s="1">
        <v>45600.338888888888</v>
      </c>
    </row>
    <row r="35" spans="1:16" x14ac:dyDescent="0.3">
      <c r="A35" t="s">
        <v>792</v>
      </c>
      <c r="B35" t="s">
        <v>353</v>
      </c>
      <c r="C35">
        <v>230.46</v>
      </c>
      <c r="D35" s="1">
        <v>45041.731249999997</v>
      </c>
      <c r="E35" t="s">
        <v>18</v>
      </c>
      <c r="F35" t="s">
        <v>459</v>
      </c>
      <c r="G35" t="s">
        <v>793</v>
      </c>
      <c r="H35" t="s">
        <v>630</v>
      </c>
      <c r="I35" t="s">
        <v>465</v>
      </c>
      <c r="J35" t="s">
        <v>31</v>
      </c>
      <c r="K35">
        <v>19</v>
      </c>
      <c r="L35" t="s">
        <v>24</v>
      </c>
      <c r="M35">
        <v>179</v>
      </c>
      <c r="N35">
        <v>1</v>
      </c>
      <c r="O35">
        <v>162.53</v>
      </c>
      <c r="P35" s="1">
        <v>45600.338888888888</v>
      </c>
    </row>
    <row r="36" spans="1:16" x14ac:dyDescent="0.3">
      <c r="A36" t="s">
        <v>794</v>
      </c>
      <c r="B36" t="s">
        <v>91</v>
      </c>
      <c r="C36">
        <v>552.02</v>
      </c>
      <c r="D36" s="1">
        <v>45260.70208333333</v>
      </c>
      <c r="E36" t="s">
        <v>27</v>
      </c>
      <c r="F36" t="s">
        <v>550</v>
      </c>
      <c r="G36" t="s">
        <v>689</v>
      </c>
      <c r="H36" t="s">
        <v>655</v>
      </c>
      <c r="I36" t="s">
        <v>225</v>
      </c>
      <c r="J36" t="s">
        <v>39</v>
      </c>
      <c r="K36">
        <v>44</v>
      </c>
      <c r="L36" t="s">
        <v>32</v>
      </c>
      <c r="M36">
        <v>100</v>
      </c>
      <c r="N36">
        <v>1</v>
      </c>
      <c r="O36">
        <v>522.08000000000004</v>
      </c>
      <c r="P36" s="1">
        <v>45600.339583333334</v>
      </c>
    </row>
    <row r="37" spans="1:16" x14ac:dyDescent="0.3">
      <c r="A37" t="s">
        <v>796</v>
      </c>
      <c r="B37" t="s">
        <v>632</v>
      </c>
      <c r="C37">
        <v>124.59</v>
      </c>
      <c r="D37" s="1">
        <v>45051.730555555558</v>
      </c>
      <c r="E37" t="s">
        <v>18</v>
      </c>
      <c r="F37" t="s">
        <v>251</v>
      </c>
      <c r="G37" t="s">
        <v>271</v>
      </c>
      <c r="H37" t="s">
        <v>730</v>
      </c>
      <c r="I37" t="s">
        <v>622</v>
      </c>
      <c r="J37" t="s">
        <v>23</v>
      </c>
      <c r="K37">
        <v>27</v>
      </c>
      <c r="L37" t="s">
        <v>24</v>
      </c>
      <c r="M37">
        <v>171</v>
      </c>
      <c r="N37">
        <v>1</v>
      </c>
      <c r="O37">
        <v>129.29</v>
      </c>
      <c r="P37" s="1">
        <v>45600.339583333334</v>
      </c>
    </row>
    <row r="38" spans="1:16" x14ac:dyDescent="0.3">
      <c r="A38" t="s">
        <v>799</v>
      </c>
      <c r="B38" t="s">
        <v>800</v>
      </c>
      <c r="C38">
        <v>365.7</v>
      </c>
      <c r="D38" s="1">
        <v>44953.690972222219</v>
      </c>
      <c r="E38" t="s">
        <v>18</v>
      </c>
      <c r="F38" t="s">
        <v>88</v>
      </c>
      <c r="G38" t="s">
        <v>615</v>
      </c>
      <c r="H38" t="s">
        <v>633</v>
      </c>
      <c r="I38" t="s">
        <v>418</v>
      </c>
      <c r="J38" t="s">
        <v>23</v>
      </c>
      <c r="K38">
        <v>21</v>
      </c>
      <c r="L38" t="s">
        <v>24</v>
      </c>
      <c r="M38">
        <v>115</v>
      </c>
      <c r="N38">
        <v>2</v>
      </c>
      <c r="O38">
        <v>368.78</v>
      </c>
      <c r="P38" s="1">
        <v>45600.340277777781</v>
      </c>
    </row>
    <row r="39" spans="1:16" x14ac:dyDescent="0.3">
      <c r="A39" t="s">
        <v>129</v>
      </c>
      <c r="B39" t="s">
        <v>130</v>
      </c>
      <c r="C39">
        <v>1342.25</v>
      </c>
      <c r="D39" s="1">
        <v>45044.757638888892</v>
      </c>
      <c r="E39" t="s">
        <v>27</v>
      </c>
      <c r="F39" t="s">
        <v>131</v>
      </c>
      <c r="G39" t="s">
        <v>132</v>
      </c>
      <c r="H39" t="s">
        <v>133</v>
      </c>
      <c r="I39" t="s">
        <v>60</v>
      </c>
      <c r="J39" t="s">
        <v>23</v>
      </c>
      <c r="K39">
        <v>21</v>
      </c>
      <c r="L39" t="s">
        <v>24</v>
      </c>
      <c r="M39">
        <v>235</v>
      </c>
      <c r="N39">
        <v>1</v>
      </c>
      <c r="O39">
        <v>694.03</v>
      </c>
      <c r="P39" s="1">
        <v>45600.338888888888</v>
      </c>
    </row>
    <row r="40" spans="1:16" x14ac:dyDescent="0.3">
      <c r="A40" t="s">
        <v>806</v>
      </c>
      <c r="B40" t="s">
        <v>65</v>
      </c>
      <c r="C40">
        <v>253.47</v>
      </c>
      <c r="D40" s="1">
        <v>45091.713194444441</v>
      </c>
      <c r="E40" t="s">
        <v>18</v>
      </c>
      <c r="F40" t="s">
        <v>248</v>
      </c>
      <c r="G40" t="s">
        <v>128</v>
      </c>
      <c r="H40" t="s">
        <v>633</v>
      </c>
      <c r="I40" t="s">
        <v>38</v>
      </c>
      <c r="J40" t="s">
        <v>23</v>
      </c>
      <c r="K40">
        <v>20</v>
      </c>
      <c r="L40" t="s">
        <v>24</v>
      </c>
      <c r="M40">
        <v>238</v>
      </c>
      <c r="N40">
        <v>1</v>
      </c>
      <c r="O40">
        <v>220.51</v>
      </c>
      <c r="P40" s="1">
        <v>45600.338888888888</v>
      </c>
    </row>
    <row r="41" spans="1:16" x14ac:dyDescent="0.3">
      <c r="A41" t="s">
        <v>138</v>
      </c>
      <c r="B41" t="s">
        <v>139</v>
      </c>
      <c r="C41">
        <v>1241.05</v>
      </c>
      <c r="D41" s="1">
        <v>45251.68472222222</v>
      </c>
      <c r="E41" t="s">
        <v>18</v>
      </c>
      <c r="F41" t="s">
        <v>140</v>
      </c>
      <c r="G41" t="s">
        <v>141</v>
      </c>
      <c r="H41" t="s">
        <v>142</v>
      </c>
      <c r="I41" t="s">
        <v>143</v>
      </c>
      <c r="J41" t="s">
        <v>23</v>
      </c>
      <c r="K41">
        <v>18</v>
      </c>
      <c r="L41" t="s">
        <v>24</v>
      </c>
      <c r="M41">
        <v>129</v>
      </c>
      <c r="N41">
        <v>1</v>
      </c>
      <c r="O41">
        <v>756.74</v>
      </c>
      <c r="P41" s="1">
        <v>45600.34097222222</v>
      </c>
    </row>
    <row r="42" spans="1:16" x14ac:dyDescent="0.3">
      <c r="A42" t="s">
        <v>809</v>
      </c>
      <c r="B42" t="s">
        <v>754</v>
      </c>
      <c r="C42">
        <v>288.27999999999997</v>
      </c>
      <c r="D42" s="1">
        <v>44943.71597222222</v>
      </c>
      <c r="E42" t="s">
        <v>18</v>
      </c>
      <c r="F42" t="s">
        <v>146</v>
      </c>
      <c r="G42" t="s">
        <v>810</v>
      </c>
      <c r="H42" t="s">
        <v>811</v>
      </c>
      <c r="I42" t="s">
        <v>167</v>
      </c>
      <c r="J42" t="s">
        <v>31</v>
      </c>
      <c r="K42">
        <v>27</v>
      </c>
      <c r="L42" t="s">
        <v>24</v>
      </c>
      <c r="M42">
        <v>36</v>
      </c>
      <c r="N42">
        <v>1</v>
      </c>
      <c r="O42">
        <v>160.83000000000001</v>
      </c>
      <c r="P42" s="1">
        <v>45600.337500000001</v>
      </c>
    </row>
    <row r="43" spans="1:16" x14ac:dyDescent="0.3">
      <c r="A43" t="s">
        <v>458</v>
      </c>
      <c r="B43" t="s">
        <v>217</v>
      </c>
      <c r="C43">
        <v>119.3</v>
      </c>
      <c r="D43" s="1">
        <v>45166.672222222223</v>
      </c>
      <c r="E43" t="s">
        <v>18</v>
      </c>
      <c r="F43" t="s">
        <v>459</v>
      </c>
      <c r="G43" t="s">
        <v>460</v>
      </c>
      <c r="H43" t="s">
        <v>461</v>
      </c>
      <c r="I43" t="s">
        <v>359</v>
      </c>
      <c r="J43" t="s">
        <v>23</v>
      </c>
      <c r="K43">
        <v>34</v>
      </c>
      <c r="L43" t="s">
        <v>32</v>
      </c>
      <c r="M43">
        <v>22</v>
      </c>
      <c r="N43">
        <v>5</v>
      </c>
      <c r="O43">
        <v>319.04000000000002</v>
      </c>
      <c r="P43" s="1">
        <v>45600.338888888888</v>
      </c>
    </row>
    <row r="44" spans="1:16" x14ac:dyDescent="0.3">
      <c r="A44" t="s">
        <v>814</v>
      </c>
      <c r="B44" t="s">
        <v>815</v>
      </c>
      <c r="C44">
        <v>350.15</v>
      </c>
      <c r="D44" s="1">
        <v>45257.679166666669</v>
      </c>
      <c r="E44" t="s">
        <v>27</v>
      </c>
      <c r="F44" t="s">
        <v>671</v>
      </c>
      <c r="G44" t="s">
        <v>97</v>
      </c>
      <c r="H44" t="s">
        <v>804</v>
      </c>
      <c r="I44" t="s">
        <v>51</v>
      </c>
      <c r="J44" t="s">
        <v>39</v>
      </c>
      <c r="K44">
        <v>21</v>
      </c>
      <c r="L44" t="s">
        <v>24</v>
      </c>
      <c r="M44">
        <v>195</v>
      </c>
      <c r="N44">
        <v>1</v>
      </c>
      <c r="O44">
        <v>296.47000000000003</v>
      </c>
      <c r="P44" s="1">
        <v>45600.338888888888</v>
      </c>
    </row>
    <row r="45" spans="1:16" x14ac:dyDescent="0.3">
      <c r="A45" t="s">
        <v>150</v>
      </c>
      <c r="B45" t="s">
        <v>151</v>
      </c>
      <c r="C45">
        <v>1151.18</v>
      </c>
      <c r="D45" s="1">
        <v>45163.726388888892</v>
      </c>
      <c r="E45" t="s">
        <v>18</v>
      </c>
      <c r="F45" t="s">
        <v>66</v>
      </c>
      <c r="G45" t="s">
        <v>59</v>
      </c>
      <c r="H45" t="s">
        <v>152</v>
      </c>
      <c r="I45" t="s">
        <v>153</v>
      </c>
      <c r="J45" t="s">
        <v>39</v>
      </c>
      <c r="K45">
        <v>65</v>
      </c>
      <c r="L45" t="s">
        <v>47</v>
      </c>
      <c r="M45">
        <v>105</v>
      </c>
      <c r="N45">
        <v>1</v>
      </c>
      <c r="O45">
        <v>1100.06</v>
      </c>
      <c r="P45" s="1">
        <v>45600.338194444441</v>
      </c>
    </row>
    <row r="46" spans="1:16" x14ac:dyDescent="0.3">
      <c r="A46" t="s">
        <v>154</v>
      </c>
      <c r="B46" t="s">
        <v>155</v>
      </c>
      <c r="C46">
        <v>1309.79</v>
      </c>
      <c r="D46" s="1">
        <v>44991.689583333333</v>
      </c>
      <c r="E46" t="s">
        <v>18</v>
      </c>
      <c r="F46" t="s">
        <v>156</v>
      </c>
      <c r="G46" t="s">
        <v>157</v>
      </c>
      <c r="H46" t="s">
        <v>158</v>
      </c>
      <c r="I46" t="s">
        <v>159</v>
      </c>
      <c r="J46" t="s">
        <v>39</v>
      </c>
      <c r="K46">
        <v>23</v>
      </c>
      <c r="L46" t="s">
        <v>24</v>
      </c>
      <c r="M46">
        <v>139</v>
      </c>
      <c r="N46">
        <v>1</v>
      </c>
      <c r="O46">
        <v>1258.93</v>
      </c>
      <c r="P46" s="1">
        <v>45600.34097222222</v>
      </c>
    </row>
    <row r="47" spans="1:16" x14ac:dyDescent="0.3">
      <c r="A47" t="s">
        <v>820</v>
      </c>
      <c r="B47" t="s">
        <v>722</v>
      </c>
      <c r="C47">
        <v>430.35</v>
      </c>
      <c r="D47" s="1">
        <v>44977.724305555559</v>
      </c>
      <c r="E47" t="s">
        <v>18</v>
      </c>
      <c r="F47" t="s">
        <v>251</v>
      </c>
      <c r="G47" t="s">
        <v>798</v>
      </c>
      <c r="H47" t="s">
        <v>733</v>
      </c>
      <c r="I47" t="s">
        <v>476</v>
      </c>
      <c r="J47" t="s">
        <v>31</v>
      </c>
      <c r="K47">
        <v>36</v>
      </c>
      <c r="L47" t="s">
        <v>47</v>
      </c>
      <c r="M47">
        <v>205</v>
      </c>
      <c r="N47">
        <v>1</v>
      </c>
      <c r="O47">
        <v>354.9</v>
      </c>
      <c r="P47" s="1">
        <v>45600.340277777781</v>
      </c>
    </row>
    <row r="48" spans="1:16" x14ac:dyDescent="0.3">
      <c r="A48" t="s">
        <v>163</v>
      </c>
      <c r="B48" t="s">
        <v>164</v>
      </c>
      <c r="C48">
        <v>1020.73</v>
      </c>
      <c r="D48" s="1">
        <v>45131.695833333331</v>
      </c>
      <c r="E48" t="s">
        <v>18</v>
      </c>
      <c r="F48" t="s">
        <v>131</v>
      </c>
      <c r="G48" t="s">
        <v>165</v>
      </c>
      <c r="H48" t="s">
        <v>166</v>
      </c>
      <c r="I48" t="s">
        <v>167</v>
      </c>
      <c r="J48" t="s">
        <v>39</v>
      </c>
      <c r="K48">
        <v>28</v>
      </c>
      <c r="L48" t="s">
        <v>24</v>
      </c>
      <c r="M48">
        <v>87</v>
      </c>
      <c r="N48">
        <v>1</v>
      </c>
      <c r="O48">
        <v>1119.6099999999999</v>
      </c>
      <c r="P48" s="1">
        <v>45600.34097222222</v>
      </c>
    </row>
    <row r="49" spans="1:16" x14ac:dyDescent="0.3">
      <c r="A49" t="s">
        <v>172</v>
      </c>
      <c r="B49" t="s">
        <v>173</v>
      </c>
      <c r="C49">
        <v>1074.95</v>
      </c>
      <c r="D49" s="1">
        <v>45079.700694444444</v>
      </c>
      <c r="E49" t="s">
        <v>18</v>
      </c>
      <c r="F49" t="s">
        <v>58</v>
      </c>
      <c r="G49" t="s">
        <v>174</v>
      </c>
      <c r="H49" t="s">
        <v>175</v>
      </c>
      <c r="I49" t="s">
        <v>143</v>
      </c>
      <c r="J49" t="s">
        <v>23</v>
      </c>
      <c r="K49">
        <v>20</v>
      </c>
      <c r="L49" t="s">
        <v>24</v>
      </c>
      <c r="M49">
        <v>91</v>
      </c>
      <c r="N49">
        <v>1</v>
      </c>
      <c r="O49">
        <v>530.86</v>
      </c>
      <c r="P49" s="1">
        <v>45600.339583333334</v>
      </c>
    </row>
    <row r="50" spans="1:16" x14ac:dyDescent="0.3">
      <c r="A50" t="s">
        <v>830</v>
      </c>
      <c r="B50" t="s">
        <v>685</v>
      </c>
      <c r="C50">
        <v>870.05</v>
      </c>
      <c r="D50" s="1">
        <v>45169.695833333331</v>
      </c>
      <c r="E50" t="s">
        <v>18</v>
      </c>
      <c r="F50" t="s">
        <v>54</v>
      </c>
      <c r="G50" t="s">
        <v>79</v>
      </c>
      <c r="H50" t="s">
        <v>831</v>
      </c>
      <c r="I50" t="s">
        <v>38</v>
      </c>
      <c r="J50" t="s">
        <v>39</v>
      </c>
      <c r="K50">
        <v>29</v>
      </c>
      <c r="L50" t="s">
        <v>47</v>
      </c>
      <c r="M50">
        <v>39</v>
      </c>
      <c r="N50">
        <v>1</v>
      </c>
      <c r="O50">
        <v>905.25</v>
      </c>
      <c r="P50" s="1">
        <v>45600.34097222222</v>
      </c>
    </row>
    <row r="51" spans="1:16" x14ac:dyDescent="0.3">
      <c r="A51" t="s">
        <v>832</v>
      </c>
      <c r="B51" t="s">
        <v>728</v>
      </c>
      <c r="C51">
        <v>183.32</v>
      </c>
      <c r="D51" s="1">
        <v>45056.685416666667</v>
      </c>
      <c r="E51" t="s">
        <v>18</v>
      </c>
      <c r="F51" t="s">
        <v>346</v>
      </c>
      <c r="G51" t="s">
        <v>718</v>
      </c>
      <c r="H51" t="s">
        <v>732</v>
      </c>
      <c r="I51" t="s">
        <v>672</v>
      </c>
      <c r="J51" t="s">
        <v>39</v>
      </c>
      <c r="K51">
        <v>21</v>
      </c>
      <c r="L51" t="s">
        <v>24</v>
      </c>
      <c r="M51">
        <v>74</v>
      </c>
      <c r="N51">
        <v>1</v>
      </c>
      <c r="O51">
        <v>137.41999999999999</v>
      </c>
      <c r="P51" s="1">
        <v>45600.339583333334</v>
      </c>
    </row>
    <row r="52" spans="1:16" x14ac:dyDescent="0.3">
      <c r="A52" t="s">
        <v>184</v>
      </c>
      <c r="B52" t="s">
        <v>185</v>
      </c>
      <c r="C52">
        <v>1531.31</v>
      </c>
      <c r="D52" s="1">
        <v>45222.75</v>
      </c>
      <c r="E52" t="s">
        <v>18</v>
      </c>
      <c r="F52" t="s">
        <v>114</v>
      </c>
      <c r="G52" t="s">
        <v>186</v>
      </c>
      <c r="H52" t="s">
        <v>187</v>
      </c>
      <c r="I52" t="s">
        <v>188</v>
      </c>
      <c r="J52" t="s">
        <v>31</v>
      </c>
      <c r="K52">
        <v>18</v>
      </c>
      <c r="L52" t="s">
        <v>24</v>
      </c>
      <c r="M52">
        <v>62</v>
      </c>
      <c r="N52">
        <v>4</v>
      </c>
      <c r="O52">
        <v>859.86</v>
      </c>
      <c r="P52" s="1">
        <v>45600.337500000001</v>
      </c>
    </row>
    <row r="53" spans="1:16" x14ac:dyDescent="0.3">
      <c r="A53" t="s">
        <v>189</v>
      </c>
      <c r="B53" t="s">
        <v>190</v>
      </c>
      <c r="C53">
        <v>1022.75</v>
      </c>
      <c r="D53" s="1">
        <v>44945.697916666664</v>
      </c>
      <c r="E53" t="s">
        <v>27</v>
      </c>
      <c r="F53" t="s">
        <v>191</v>
      </c>
      <c r="G53" t="s">
        <v>192</v>
      </c>
      <c r="H53" t="s">
        <v>193</v>
      </c>
      <c r="I53" t="s">
        <v>81</v>
      </c>
      <c r="J53" t="s">
        <v>23</v>
      </c>
      <c r="K53">
        <v>62</v>
      </c>
      <c r="L53" t="s">
        <v>47</v>
      </c>
      <c r="M53">
        <v>158</v>
      </c>
      <c r="N53">
        <v>1</v>
      </c>
      <c r="O53">
        <v>207.74</v>
      </c>
      <c r="P53" s="1">
        <v>45600.340277777781</v>
      </c>
    </row>
    <row r="54" spans="1:16" x14ac:dyDescent="0.3">
      <c r="A54" t="s">
        <v>501</v>
      </c>
      <c r="B54" t="s">
        <v>502</v>
      </c>
      <c r="C54">
        <v>119.95</v>
      </c>
      <c r="D54" s="1">
        <v>45026.745138888888</v>
      </c>
      <c r="E54" t="s">
        <v>27</v>
      </c>
      <c r="F54" t="s">
        <v>284</v>
      </c>
      <c r="G54" t="s">
        <v>321</v>
      </c>
      <c r="H54" t="s">
        <v>503</v>
      </c>
      <c r="I54" t="s">
        <v>293</v>
      </c>
      <c r="J54" t="s">
        <v>23</v>
      </c>
      <c r="K54">
        <v>62</v>
      </c>
      <c r="L54" t="s">
        <v>40</v>
      </c>
      <c r="M54">
        <v>47</v>
      </c>
      <c r="N54">
        <v>5</v>
      </c>
      <c r="O54">
        <v>2596.61</v>
      </c>
      <c r="P54" s="1">
        <v>45600.340277777781</v>
      </c>
    </row>
    <row r="55" spans="1:16" x14ac:dyDescent="0.3">
      <c r="A55" t="s">
        <v>843</v>
      </c>
      <c r="B55" t="s">
        <v>720</v>
      </c>
      <c r="C55">
        <v>880.04</v>
      </c>
      <c r="D55" s="1">
        <v>45229.790277777778</v>
      </c>
      <c r="E55" t="s">
        <v>18</v>
      </c>
      <c r="F55" t="s">
        <v>560</v>
      </c>
      <c r="G55" t="s">
        <v>844</v>
      </c>
      <c r="H55" t="s">
        <v>822</v>
      </c>
      <c r="I55" t="s">
        <v>215</v>
      </c>
      <c r="J55" t="s">
        <v>39</v>
      </c>
      <c r="K55">
        <v>25</v>
      </c>
      <c r="L55" t="s">
        <v>24</v>
      </c>
      <c r="M55">
        <v>29</v>
      </c>
      <c r="N55">
        <v>1</v>
      </c>
      <c r="O55">
        <v>261.97000000000003</v>
      </c>
      <c r="P55" s="1">
        <v>45600.338194444441</v>
      </c>
    </row>
    <row r="56" spans="1:16" x14ac:dyDescent="0.3">
      <c r="A56" t="s">
        <v>845</v>
      </c>
      <c r="B56" t="s">
        <v>71</v>
      </c>
      <c r="C56">
        <v>575.62</v>
      </c>
      <c r="D56" s="1">
        <v>45089.770833333336</v>
      </c>
      <c r="E56" t="s">
        <v>18</v>
      </c>
      <c r="F56" t="s">
        <v>105</v>
      </c>
      <c r="G56" t="s">
        <v>478</v>
      </c>
      <c r="H56" t="s">
        <v>619</v>
      </c>
      <c r="I56" t="s">
        <v>197</v>
      </c>
      <c r="J56" t="s">
        <v>31</v>
      </c>
      <c r="K56">
        <v>43</v>
      </c>
      <c r="L56" t="s">
        <v>47</v>
      </c>
      <c r="M56">
        <v>129</v>
      </c>
      <c r="N56">
        <v>1</v>
      </c>
      <c r="O56">
        <v>234.41</v>
      </c>
      <c r="P56" s="1">
        <v>45600.34097222222</v>
      </c>
    </row>
    <row r="57" spans="1:16" x14ac:dyDescent="0.3">
      <c r="A57" t="s">
        <v>508</v>
      </c>
      <c r="B57" t="s">
        <v>509</v>
      </c>
      <c r="C57">
        <v>180.65</v>
      </c>
      <c r="D57" s="1">
        <v>45264.745833333334</v>
      </c>
      <c r="E57" t="s">
        <v>18</v>
      </c>
      <c r="F57" t="s">
        <v>251</v>
      </c>
      <c r="G57" t="s">
        <v>510</v>
      </c>
      <c r="H57" t="s">
        <v>511</v>
      </c>
      <c r="I57" t="s">
        <v>30</v>
      </c>
      <c r="J57" t="s">
        <v>23</v>
      </c>
      <c r="K57">
        <v>22</v>
      </c>
      <c r="L57" t="s">
        <v>24</v>
      </c>
      <c r="M57">
        <v>38</v>
      </c>
      <c r="N57">
        <v>5</v>
      </c>
      <c r="O57">
        <v>816.01</v>
      </c>
      <c r="P57" s="1">
        <v>45600.339583333334</v>
      </c>
    </row>
    <row r="58" spans="1:16" x14ac:dyDescent="0.3">
      <c r="A58" t="s">
        <v>848</v>
      </c>
      <c r="B58" t="s">
        <v>797</v>
      </c>
      <c r="C58">
        <v>289.10000000000002</v>
      </c>
      <c r="D58" s="1">
        <v>45118.672222222223</v>
      </c>
      <c r="E58" t="s">
        <v>18</v>
      </c>
      <c r="F58" t="s">
        <v>178</v>
      </c>
      <c r="G58" t="s">
        <v>406</v>
      </c>
      <c r="H58" t="s">
        <v>210</v>
      </c>
      <c r="I58" t="s">
        <v>162</v>
      </c>
      <c r="J58" t="s">
        <v>39</v>
      </c>
      <c r="K58">
        <v>27</v>
      </c>
      <c r="L58" t="s">
        <v>24</v>
      </c>
      <c r="M58">
        <v>206</v>
      </c>
      <c r="N58">
        <v>1</v>
      </c>
      <c r="O58">
        <v>267.52999999999997</v>
      </c>
      <c r="P58" s="1">
        <v>45600.339583333334</v>
      </c>
    </row>
    <row r="59" spans="1:16" x14ac:dyDescent="0.3">
      <c r="A59" t="s">
        <v>198</v>
      </c>
      <c r="B59" t="s">
        <v>199</v>
      </c>
      <c r="C59">
        <v>1156.18</v>
      </c>
      <c r="D59" s="1">
        <v>45190.674305555556</v>
      </c>
      <c r="E59" t="s">
        <v>27</v>
      </c>
      <c r="F59" t="s">
        <v>170</v>
      </c>
      <c r="G59" t="s">
        <v>200</v>
      </c>
      <c r="H59" t="s">
        <v>201</v>
      </c>
      <c r="I59" t="s">
        <v>202</v>
      </c>
      <c r="J59" t="s">
        <v>31</v>
      </c>
      <c r="K59">
        <v>52</v>
      </c>
      <c r="L59" t="s">
        <v>47</v>
      </c>
      <c r="M59">
        <v>40</v>
      </c>
      <c r="N59">
        <v>1</v>
      </c>
      <c r="O59">
        <v>836.69</v>
      </c>
      <c r="P59" s="1">
        <v>45600.34097222222</v>
      </c>
    </row>
    <row r="60" spans="1:16" x14ac:dyDescent="0.3">
      <c r="A60" t="s">
        <v>203</v>
      </c>
      <c r="B60" t="s">
        <v>204</v>
      </c>
      <c r="C60">
        <v>1045.45</v>
      </c>
      <c r="D60" s="1">
        <v>45229.697916666664</v>
      </c>
      <c r="E60" t="s">
        <v>18</v>
      </c>
      <c r="F60" t="s">
        <v>178</v>
      </c>
      <c r="G60" t="s">
        <v>205</v>
      </c>
      <c r="H60" t="s">
        <v>206</v>
      </c>
      <c r="I60" t="s">
        <v>22</v>
      </c>
      <c r="J60" t="s">
        <v>31</v>
      </c>
      <c r="K60">
        <v>19</v>
      </c>
      <c r="L60" t="s">
        <v>24</v>
      </c>
      <c r="M60">
        <v>150</v>
      </c>
      <c r="N60">
        <v>1</v>
      </c>
      <c r="O60">
        <v>563.46</v>
      </c>
      <c r="P60" s="1">
        <v>45600.34097222222</v>
      </c>
    </row>
    <row r="61" spans="1:16" x14ac:dyDescent="0.3">
      <c r="A61" t="s">
        <v>850</v>
      </c>
      <c r="B61" t="s">
        <v>731</v>
      </c>
      <c r="C61">
        <v>332.33</v>
      </c>
      <c r="D61" s="1">
        <v>45097.711805555555</v>
      </c>
      <c r="E61" t="s">
        <v>18</v>
      </c>
      <c r="F61" t="s">
        <v>66</v>
      </c>
      <c r="G61" t="s">
        <v>652</v>
      </c>
      <c r="H61" t="s">
        <v>724</v>
      </c>
      <c r="I61" t="s">
        <v>627</v>
      </c>
      <c r="J61" t="s">
        <v>39</v>
      </c>
      <c r="K61">
        <v>27</v>
      </c>
      <c r="L61" t="s">
        <v>24</v>
      </c>
      <c r="M61">
        <v>101</v>
      </c>
      <c r="N61">
        <v>1</v>
      </c>
      <c r="O61">
        <v>192.63</v>
      </c>
      <c r="P61" s="1">
        <v>45600.34097222222</v>
      </c>
    </row>
    <row r="62" spans="1:16" x14ac:dyDescent="0.3">
      <c r="A62" t="s">
        <v>851</v>
      </c>
      <c r="B62" t="s">
        <v>101</v>
      </c>
      <c r="C62">
        <v>199.8</v>
      </c>
      <c r="D62" s="1">
        <v>45131.679166666669</v>
      </c>
      <c r="E62" t="s">
        <v>18</v>
      </c>
      <c r="F62" t="s">
        <v>50</v>
      </c>
      <c r="G62" t="s">
        <v>829</v>
      </c>
      <c r="H62" t="s">
        <v>813</v>
      </c>
      <c r="I62" t="s">
        <v>703</v>
      </c>
      <c r="J62" t="s">
        <v>39</v>
      </c>
      <c r="K62">
        <v>20</v>
      </c>
      <c r="L62" t="s">
        <v>24</v>
      </c>
      <c r="M62">
        <v>163</v>
      </c>
      <c r="N62">
        <v>1</v>
      </c>
      <c r="O62">
        <v>167.28</v>
      </c>
      <c r="P62" s="1">
        <v>45600.34097222222</v>
      </c>
    </row>
    <row r="63" spans="1:16" x14ac:dyDescent="0.3">
      <c r="A63" t="s">
        <v>853</v>
      </c>
      <c r="B63" t="s">
        <v>234</v>
      </c>
      <c r="C63">
        <v>841.5</v>
      </c>
      <c r="D63" s="1">
        <v>45068.689583333333</v>
      </c>
      <c r="E63" t="s">
        <v>27</v>
      </c>
      <c r="F63" t="s">
        <v>248</v>
      </c>
      <c r="G63" t="s">
        <v>854</v>
      </c>
      <c r="H63" t="s">
        <v>148</v>
      </c>
      <c r="I63" t="s">
        <v>232</v>
      </c>
      <c r="J63" t="s">
        <v>23</v>
      </c>
      <c r="K63">
        <v>25</v>
      </c>
      <c r="L63" t="s">
        <v>24</v>
      </c>
      <c r="M63">
        <v>287</v>
      </c>
      <c r="N63">
        <v>1</v>
      </c>
      <c r="O63">
        <v>352.31</v>
      </c>
      <c r="P63" s="1">
        <v>45600.339583333334</v>
      </c>
    </row>
    <row r="64" spans="1:16" x14ac:dyDescent="0.3">
      <c r="A64" t="s">
        <v>856</v>
      </c>
      <c r="B64" t="s">
        <v>227</v>
      </c>
      <c r="C64">
        <v>285.26</v>
      </c>
      <c r="D64" s="1">
        <v>45231.67291666667</v>
      </c>
      <c r="E64" t="s">
        <v>18</v>
      </c>
      <c r="F64" t="s">
        <v>248</v>
      </c>
      <c r="G64" t="s">
        <v>761</v>
      </c>
      <c r="H64" t="s">
        <v>751</v>
      </c>
      <c r="I64" t="s">
        <v>46</v>
      </c>
      <c r="J64" t="s">
        <v>39</v>
      </c>
      <c r="K64">
        <v>28</v>
      </c>
      <c r="L64" t="s">
        <v>24</v>
      </c>
      <c r="M64">
        <v>93</v>
      </c>
      <c r="N64">
        <v>1</v>
      </c>
      <c r="O64">
        <v>167.72</v>
      </c>
      <c r="P64" s="1">
        <v>45600.34097222222</v>
      </c>
    </row>
    <row r="65" spans="1:16" x14ac:dyDescent="0.3">
      <c r="A65" t="s">
        <v>858</v>
      </c>
      <c r="B65" t="s">
        <v>629</v>
      </c>
      <c r="C65">
        <v>605.41999999999996</v>
      </c>
      <c r="D65" s="1">
        <v>45090.673611111109</v>
      </c>
      <c r="E65" t="s">
        <v>18</v>
      </c>
      <c r="F65" t="s">
        <v>459</v>
      </c>
      <c r="G65" t="s">
        <v>657</v>
      </c>
      <c r="H65" t="s">
        <v>769</v>
      </c>
      <c r="I65" t="s">
        <v>681</v>
      </c>
      <c r="J65" t="s">
        <v>39</v>
      </c>
      <c r="K65">
        <v>21</v>
      </c>
      <c r="L65" t="s">
        <v>24</v>
      </c>
      <c r="M65">
        <v>33</v>
      </c>
      <c r="N65">
        <v>1</v>
      </c>
      <c r="O65">
        <v>392.34</v>
      </c>
      <c r="P65" s="1">
        <v>45600.339583333334</v>
      </c>
    </row>
    <row r="66" spans="1:16" x14ac:dyDescent="0.3">
      <c r="A66" t="s">
        <v>859</v>
      </c>
      <c r="B66" t="s">
        <v>819</v>
      </c>
      <c r="C66">
        <v>410.97</v>
      </c>
      <c r="D66" s="1">
        <v>45194.709027777775</v>
      </c>
      <c r="E66" t="s">
        <v>18</v>
      </c>
      <c r="F66" t="s">
        <v>181</v>
      </c>
      <c r="G66" t="s">
        <v>623</v>
      </c>
      <c r="H66" t="s">
        <v>785</v>
      </c>
      <c r="I66" t="s">
        <v>266</v>
      </c>
      <c r="J66" t="s">
        <v>39</v>
      </c>
      <c r="K66">
        <v>22</v>
      </c>
      <c r="L66" t="s">
        <v>24</v>
      </c>
      <c r="M66">
        <v>45</v>
      </c>
      <c r="N66">
        <v>1</v>
      </c>
      <c r="O66">
        <v>151.41999999999999</v>
      </c>
      <c r="P66" s="1">
        <v>45600.34097222222</v>
      </c>
    </row>
    <row r="67" spans="1:16" x14ac:dyDescent="0.3">
      <c r="A67" t="s">
        <v>216</v>
      </c>
      <c r="B67" t="s">
        <v>217</v>
      </c>
      <c r="C67">
        <v>1647.74</v>
      </c>
      <c r="D67" s="1">
        <v>45285.736805555556</v>
      </c>
      <c r="E67" t="s">
        <v>18</v>
      </c>
      <c r="F67" t="s">
        <v>209</v>
      </c>
      <c r="G67" t="s">
        <v>218</v>
      </c>
      <c r="H67" t="s">
        <v>219</v>
      </c>
      <c r="I67" t="s">
        <v>220</v>
      </c>
      <c r="J67" t="s">
        <v>39</v>
      </c>
      <c r="K67">
        <v>67</v>
      </c>
      <c r="L67" t="s">
        <v>40</v>
      </c>
      <c r="M67">
        <v>52</v>
      </c>
      <c r="N67">
        <v>1</v>
      </c>
      <c r="O67">
        <v>1483.84</v>
      </c>
      <c r="P67" s="1">
        <v>45600.339583333334</v>
      </c>
    </row>
    <row r="68" spans="1:16" x14ac:dyDescent="0.3">
      <c r="A68" t="s">
        <v>521</v>
      </c>
      <c r="B68" t="s">
        <v>522</v>
      </c>
      <c r="C68">
        <v>142.19</v>
      </c>
      <c r="D68" s="1">
        <v>45092.769444444442</v>
      </c>
      <c r="E68" t="s">
        <v>18</v>
      </c>
      <c r="F68" t="s">
        <v>88</v>
      </c>
      <c r="G68" t="s">
        <v>523</v>
      </c>
      <c r="H68" t="s">
        <v>524</v>
      </c>
      <c r="I68" t="s">
        <v>99</v>
      </c>
      <c r="J68" t="s">
        <v>23</v>
      </c>
      <c r="K68">
        <v>18</v>
      </c>
      <c r="L68" t="s">
        <v>24</v>
      </c>
      <c r="M68">
        <v>27</v>
      </c>
      <c r="N68">
        <v>4</v>
      </c>
      <c r="O68">
        <v>524.46</v>
      </c>
      <c r="P68" s="1">
        <v>45600.339583333334</v>
      </c>
    </row>
    <row r="69" spans="1:16" x14ac:dyDescent="0.3">
      <c r="A69" t="s">
        <v>860</v>
      </c>
      <c r="B69" t="s">
        <v>177</v>
      </c>
      <c r="C69">
        <v>847.45</v>
      </c>
      <c r="D69" s="1">
        <v>45096.683333333334</v>
      </c>
      <c r="E69" t="s">
        <v>18</v>
      </c>
      <c r="F69" t="s">
        <v>58</v>
      </c>
      <c r="G69" t="s">
        <v>669</v>
      </c>
      <c r="H69" t="s">
        <v>786</v>
      </c>
      <c r="I69" t="s">
        <v>318</v>
      </c>
      <c r="J69" t="s">
        <v>23</v>
      </c>
      <c r="K69">
        <v>28</v>
      </c>
      <c r="L69" t="s">
        <v>24</v>
      </c>
      <c r="M69">
        <v>175</v>
      </c>
      <c r="N69">
        <v>1</v>
      </c>
      <c r="O69">
        <v>422.32</v>
      </c>
      <c r="P69" s="1">
        <v>45600.339583333334</v>
      </c>
    </row>
    <row r="70" spans="1:16" x14ac:dyDescent="0.3">
      <c r="A70" t="s">
        <v>861</v>
      </c>
      <c r="B70" t="s">
        <v>704</v>
      </c>
      <c r="C70">
        <v>603.23</v>
      </c>
      <c r="D70" s="1">
        <v>45162.731944444444</v>
      </c>
      <c r="E70" t="s">
        <v>18</v>
      </c>
      <c r="F70" t="s">
        <v>50</v>
      </c>
      <c r="G70" t="s">
        <v>537</v>
      </c>
      <c r="H70" t="s">
        <v>441</v>
      </c>
      <c r="I70" t="s">
        <v>403</v>
      </c>
      <c r="J70" t="s">
        <v>23</v>
      </c>
      <c r="K70">
        <v>28</v>
      </c>
      <c r="L70" t="s">
        <v>24</v>
      </c>
      <c r="M70">
        <v>48</v>
      </c>
      <c r="N70">
        <v>1</v>
      </c>
      <c r="O70">
        <v>117.98</v>
      </c>
      <c r="P70" s="1">
        <v>45600.338888888888</v>
      </c>
    </row>
    <row r="71" spans="1:16" x14ac:dyDescent="0.3">
      <c r="A71" t="s">
        <v>862</v>
      </c>
      <c r="B71" t="s">
        <v>643</v>
      </c>
      <c r="C71">
        <v>421.52</v>
      </c>
      <c r="D71" s="1">
        <v>45153.732638888891</v>
      </c>
      <c r="E71" t="s">
        <v>18</v>
      </c>
      <c r="F71" t="s">
        <v>191</v>
      </c>
      <c r="G71" t="s">
        <v>490</v>
      </c>
      <c r="H71" t="s">
        <v>863</v>
      </c>
      <c r="I71" t="s">
        <v>162</v>
      </c>
      <c r="J71" t="s">
        <v>23</v>
      </c>
      <c r="K71">
        <v>20</v>
      </c>
      <c r="L71" t="s">
        <v>24</v>
      </c>
      <c r="M71">
        <v>67</v>
      </c>
      <c r="N71">
        <v>1</v>
      </c>
      <c r="O71">
        <v>369.86</v>
      </c>
      <c r="P71" s="1">
        <v>45600.340277777781</v>
      </c>
    </row>
    <row r="72" spans="1:16" x14ac:dyDescent="0.3">
      <c r="A72" t="s">
        <v>221</v>
      </c>
      <c r="B72" t="s">
        <v>222</v>
      </c>
      <c r="C72">
        <v>1235.69</v>
      </c>
      <c r="D72" s="1">
        <v>45070.676388888889</v>
      </c>
      <c r="E72" t="s">
        <v>27</v>
      </c>
      <c r="F72" t="s">
        <v>191</v>
      </c>
      <c r="G72" t="s">
        <v>223</v>
      </c>
      <c r="H72" t="s">
        <v>224</v>
      </c>
      <c r="I72" t="s">
        <v>225</v>
      </c>
      <c r="J72" t="s">
        <v>23</v>
      </c>
      <c r="K72">
        <v>20</v>
      </c>
      <c r="L72" t="s">
        <v>24</v>
      </c>
      <c r="M72">
        <v>118</v>
      </c>
      <c r="N72">
        <v>1</v>
      </c>
      <c r="O72">
        <v>420.25</v>
      </c>
      <c r="P72" s="1">
        <v>45600.339583333334</v>
      </c>
    </row>
    <row r="73" spans="1:16" x14ac:dyDescent="0.3">
      <c r="A73" t="s">
        <v>864</v>
      </c>
      <c r="B73" t="s">
        <v>816</v>
      </c>
      <c r="C73">
        <v>587.23</v>
      </c>
      <c r="D73" s="1">
        <v>45138.745833333334</v>
      </c>
      <c r="E73" t="s">
        <v>18</v>
      </c>
      <c r="F73" t="s">
        <v>72</v>
      </c>
      <c r="G73" t="s">
        <v>849</v>
      </c>
      <c r="H73" t="s">
        <v>68</v>
      </c>
      <c r="I73" t="s">
        <v>476</v>
      </c>
      <c r="J73" t="s">
        <v>31</v>
      </c>
      <c r="K73">
        <v>27</v>
      </c>
      <c r="L73" t="s">
        <v>24</v>
      </c>
      <c r="M73">
        <v>144</v>
      </c>
      <c r="N73">
        <v>1</v>
      </c>
      <c r="O73">
        <v>500.84</v>
      </c>
      <c r="P73" s="1">
        <v>45600.339583333334</v>
      </c>
    </row>
    <row r="74" spans="1:16" x14ac:dyDescent="0.3">
      <c r="A74" t="s">
        <v>228</v>
      </c>
      <c r="B74" t="s">
        <v>229</v>
      </c>
      <c r="C74">
        <v>1397.59</v>
      </c>
      <c r="D74" s="1">
        <v>45243.727777777778</v>
      </c>
      <c r="E74" t="s">
        <v>27</v>
      </c>
      <c r="F74" t="s">
        <v>28</v>
      </c>
      <c r="G74" t="s">
        <v>230</v>
      </c>
      <c r="H74" t="s">
        <v>231</v>
      </c>
      <c r="I74" t="s">
        <v>232</v>
      </c>
      <c r="J74" t="s">
        <v>39</v>
      </c>
      <c r="K74">
        <v>26</v>
      </c>
      <c r="L74" t="s">
        <v>24</v>
      </c>
      <c r="M74">
        <v>144</v>
      </c>
      <c r="N74">
        <v>1</v>
      </c>
      <c r="O74">
        <v>1134.79</v>
      </c>
      <c r="P74" s="1">
        <v>45600.337500000001</v>
      </c>
    </row>
    <row r="75" spans="1:16" x14ac:dyDescent="0.3">
      <c r="A75" t="s">
        <v>865</v>
      </c>
      <c r="B75" t="s">
        <v>866</v>
      </c>
      <c r="C75">
        <v>355</v>
      </c>
      <c r="D75" s="1">
        <v>45167.701388888891</v>
      </c>
      <c r="E75" t="s">
        <v>27</v>
      </c>
      <c r="F75" t="s">
        <v>131</v>
      </c>
      <c r="G75" t="s">
        <v>679</v>
      </c>
      <c r="H75" t="s">
        <v>838</v>
      </c>
      <c r="I75" t="s">
        <v>299</v>
      </c>
      <c r="J75" t="s">
        <v>31</v>
      </c>
      <c r="K75">
        <v>26</v>
      </c>
      <c r="L75" t="s">
        <v>24</v>
      </c>
      <c r="M75">
        <v>33</v>
      </c>
      <c r="N75">
        <v>1</v>
      </c>
      <c r="O75">
        <v>185.47</v>
      </c>
      <c r="P75" s="1">
        <v>45600.340277777781</v>
      </c>
    </row>
    <row r="76" spans="1:16" x14ac:dyDescent="0.3">
      <c r="A76" t="s">
        <v>867</v>
      </c>
      <c r="B76" t="s">
        <v>704</v>
      </c>
      <c r="C76">
        <v>359.65</v>
      </c>
      <c r="D76" s="1">
        <v>44938.748611111114</v>
      </c>
      <c r="E76" t="s">
        <v>27</v>
      </c>
      <c r="F76" t="s">
        <v>58</v>
      </c>
      <c r="G76" t="s">
        <v>826</v>
      </c>
      <c r="H76" t="s">
        <v>272</v>
      </c>
      <c r="I76" t="s">
        <v>681</v>
      </c>
      <c r="J76" t="s">
        <v>31</v>
      </c>
      <c r="K76">
        <v>25</v>
      </c>
      <c r="L76" t="s">
        <v>24</v>
      </c>
      <c r="M76">
        <v>289</v>
      </c>
      <c r="N76">
        <v>1</v>
      </c>
      <c r="O76">
        <v>219.53</v>
      </c>
      <c r="P76" s="1">
        <v>45600.339583333334</v>
      </c>
    </row>
    <row r="77" spans="1:16" x14ac:dyDescent="0.3">
      <c r="A77" t="s">
        <v>868</v>
      </c>
      <c r="B77" t="s">
        <v>842</v>
      </c>
      <c r="C77">
        <v>388.07</v>
      </c>
      <c r="D77" s="1">
        <v>45174.731944444444</v>
      </c>
      <c r="E77" t="s">
        <v>18</v>
      </c>
      <c r="F77" t="s">
        <v>612</v>
      </c>
      <c r="G77" t="s">
        <v>779</v>
      </c>
      <c r="H77" t="s">
        <v>670</v>
      </c>
      <c r="I77" t="s">
        <v>75</v>
      </c>
      <c r="J77" t="s">
        <v>31</v>
      </c>
      <c r="K77">
        <v>24</v>
      </c>
      <c r="L77" t="s">
        <v>24</v>
      </c>
      <c r="M77">
        <v>68</v>
      </c>
      <c r="N77">
        <v>1</v>
      </c>
      <c r="O77">
        <v>289.70999999999998</v>
      </c>
      <c r="P77" s="1">
        <v>45600.340277777781</v>
      </c>
    </row>
    <row r="78" spans="1:16" x14ac:dyDescent="0.3">
      <c r="A78" t="s">
        <v>869</v>
      </c>
      <c r="B78" t="s">
        <v>614</v>
      </c>
      <c r="C78">
        <v>787.41</v>
      </c>
      <c r="D78" s="1">
        <v>45096.681944444441</v>
      </c>
      <c r="E78" t="s">
        <v>18</v>
      </c>
      <c r="F78" t="s">
        <v>258</v>
      </c>
      <c r="G78" t="s">
        <v>743</v>
      </c>
      <c r="H78" t="s">
        <v>870</v>
      </c>
      <c r="I78" t="s">
        <v>197</v>
      </c>
      <c r="J78" t="s">
        <v>31</v>
      </c>
      <c r="K78">
        <v>25</v>
      </c>
      <c r="L78" t="s">
        <v>24</v>
      </c>
      <c r="M78">
        <v>39</v>
      </c>
      <c r="N78">
        <v>1</v>
      </c>
      <c r="O78">
        <v>300.87</v>
      </c>
      <c r="P78" s="1">
        <v>45600.337500000001</v>
      </c>
    </row>
    <row r="79" spans="1:16" x14ac:dyDescent="0.3">
      <c r="A79" t="s">
        <v>872</v>
      </c>
      <c r="B79" t="s">
        <v>91</v>
      </c>
      <c r="C79">
        <v>487.16</v>
      </c>
      <c r="D79" s="1">
        <v>44928.667361111111</v>
      </c>
      <c r="E79" t="s">
        <v>27</v>
      </c>
      <c r="F79" t="s">
        <v>181</v>
      </c>
      <c r="G79" t="s">
        <v>873</v>
      </c>
      <c r="H79" t="s">
        <v>142</v>
      </c>
      <c r="I79" t="s">
        <v>38</v>
      </c>
      <c r="J79" t="s">
        <v>23</v>
      </c>
      <c r="K79">
        <v>28</v>
      </c>
      <c r="L79" t="s">
        <v>24</v>
      </c>
      <c r="M79">
        <v>84</v>
      </c>
      <c r="N79">
        <v>1</v>
      </c>
      <c r="O79">
        <v>321.20999999999998</v>
      </c>
      <c r="P79" s="1">
        <v>45600.341666666667</v>
      </c>
    </row>
    <row r="80" spans="1:16" x14ac:dyDescent="0.3">
      <c r="A80" t="s">
        <v>874</v>
      </c>
      <c r="B80" t="s">
        <v>828</v>
      </c>
      <c r="C80">
        <v>407.65</v>
      </c>
      <c r="D80" s="1">
        <v>45145.720138888886</v>
      </c>
      <c r="E80" t="s">
        <v>18</v>
      </c>
      <c r="F80" t="s">
        <v>78</v>
      </c>
      <c r="G80" t="s">
        <v>646</v>
      </c>
      <c r="H80" t="s">
        <v>875</v>
      </c>
      <c r="I80" t="s">
        <v>645</v>
      </c>
      <c r="J80" t="s">
        <v>39</v>
      </c>
      <c r="K80">
        <v>25</v>
      </c>
      <c r="L80" t="s">
        <v>24</v>
      </c>
      <c r="M80">
        <v>263</v>
      </c>
      <c r="N80">
        <v>1</v>
      </c>
      <c r="O80">
        <v>273.77999999999997</v>
      </c>
      <c r="P80" s="1">
        <v>45600.338888888888</v>
      </c>
    </row>
    <row r="81" spans="1:16" x14ac:dyDescent="0.3">
      <c r="A81" t="s">
        <v>876</v>
      </c>
      <c r="B81" t="s">
        <v>877</v>
      </c>
      <c r="C81">
        <v>459.25</v>
      </c>
      <c r="D81" s="1">
        <v>45069.697222222225</v>
      </c>
      <c r="E81" t="s">
        <v>18</v>
      </c>
      <c r="F81" t="s">
        <v>123</v>
      </c>
      <c r="G81" t="s">
        <v>707</v>
      </c>
      <c r="H81" t="s">
        <v>133</v>
      </c>
      <c r="I81" t="s">
        <v>603</v>
      </c>
      <c r="J81" t="s">
        <v>23</v>
      </c>
      <c r="K81">
        <v>25</v>
      </c>
      <c r="L81" t="s">
        <v>24</v>
      </c>
      <c r="M81">
        <v>59</v>
      </c>
      <c r="N81">
        <v>1</v>
      </c>
      <c r="O81">
        <v>130.76</v>
      </c>
      <c r="P81" s="1">
        <v>45600.34097222222</v>
      </c>
    </row>
    <row r="82" spans="1:16" x14ac:dyDescent="0.3">
      <c r="A82" t="s">
        <v>878</v>
      </c>
      <c r="B82" t="s">
        <v>760</v>
      </c>
      <c r="C82">
        <v>654.49</v>
      </c>
      <c r="D82" s="1">
        <v>45250.688194444447</v>
      </c>
      <c r="E82" t="s">
        <v>27</v>
      </c>
      <c r="F82" t="s">
        <v>28</v>
      </c>
      <c r="G82" t="s">
        <v>613</v>
      </c>
      <c r="H82" t="s">
        <v>659</v>
      </c>
      <c r="I82" t="s">
        <v>102</v>
      </c>
      <c r="J82" t="s">
        <v>31</v>
      </c>
      <c r="K82">
        <v>25</v>
      </c>
      <c r="L82" t="s">
        <v>24</v>
      </c>
      <c r="M82">
        <v>104</v>
      </c>
      <c r="N82">
        <v>1</v>
      </c>
      <c r="O82">
        <v>164.61</v>
      </c>
      <c r="P82" s="1">
        <v>45600.338888888888</v>
      </c>
    </row>
    <row r="83" spans="1:16" x14ac:dyDescent="0.3">
      <c r="A83" t="s">
        <v>879</v>
      </c>
      <c r="B83" t="s">
        <v>169</v>
      </c>
      <c r="C83">
        <v>659.71</v>
      </c>
      <c r="D83" s="1">
        <v>45051.673611111109</v>
      </c>
      <c r="E83" t="s">
        <v>27</v>
      </c>
      <c r="F83" t="s">
        <v>191</v>
      </c>
      <c r="G83" t="s">
        <v>744</v>
      </c>
      <c r="H83" t="s">
        <v>737</v>
      </c>
      <c r="I83" t="s">
        <v>51</v>
      </c>
      <c r="J83" t="s">
        <v>23</v>
      </c>
      <c r="K83">
        <v>21</v>
      </c>
      <c r="L83" t="s">
        <v>24</v>
      </c>
      <c r="M83">
        <v>148</v>
      </c>
      <c r="N83">
        <v>1</v>
      </c>
      <c r="O83">
        <v>106.86</v>
      </c>
      <c r="P83" s="1">
        <v>45600.339583333334</v>
      </c>
    </row>
    <row r="84" spans="1:16" x14ac:dyDescent="0.3">
      <c r="A84" t="s">
        <v>880</v>
      </c>
      <c r="B84" t="s">
        <v>678</v>
      </c>
      <c r="C84">
        <v>276.26</v>
      </c>
      <c r="D84" s="1">
        <v>44970.711111111108</v>
      </c>
      <c r="E84" t="s">
        <v>18</v>
      </c>
      <c r="F84" t="s">
        <v>209</v>
      </c>
      <c r="G84" t="s">
        <v>817</v>
      </c>
      <c r="H84" t="s">
        <v>841</v>
      </c>
      <c r="I84" t="s">
        <v>739</v>
      </c>
      <c r="J84" t="s">
        <v>23</v>
      </c>
      <c r="K84">
        <v>56</v>
      </c>
      <c r="L84" t="s">
        <v>47</v>
      </c>
      <c r="M84">
        <v>143</v>
      </c>
      <c r="N84">
        <v>1</v>
      </c>
      <c r="O84">
        <v>120.89</v>
      </c>
      <c r="P84" s="1">
        <v>45600.34097222222</v>
      </c>
    </row>
    <row r="85" spans="1:16" x14ac:dyDescent="0.3">
      <c r="A85" t="s">
        <v>881</v>
      </c>
      <c r="B85" t="s">
        <v>840</v>
      </c>
      <c r="C85">
        <v>342.57</v>
      </c>
      <c r="D85" s="1">
        <v>44960.715277777781</v>
      </c>
      <c r="E85" t="s">
        <v>18</v>
      </c>
      <c r="F85" t="s">
        <v>298</v>
      </c>
      <c r="G85" t="s">
        <v>846</v>
      </c>
      <c r="H85" t="s">
        <v>791</v>
      </c>
      <c r="I85" t="s">
        <v>413</v>
      </c>
      <c r="J85" t="s">
        <v>31</v>
      </c>
      <c r="K85">
        <v>20</v>
      </c>
      <c r="L85" t="s">
        <v>24</v>
      </c>
      <c r="M85">
        <v>91</v>
      </c>
      <c r="N85">
        <v>1</v>
      </c>
      <c r="O85">
        <v>339.16</v>
      </c>
      <c r="P85" s="1">
        <v>45600.339583333334</v>
      </c>
    </row>
    <row r="86" spans="1:16" x14ac:dyDescent="0.3">
      <c r="A86" t="s">
        <v>882</v>
      </c>
      <c r="B86" t="s">
        <v>101</v>
      </c>
      <c r="C86">
        <v>965.66</v>
      </c>
      <c r="D86" s="1">
        <v>45278.723611111112</v>
      </c>
      <c r="E86" t="s">
        <v>18</v>
      </c>
      <c r="F86" t="s">
        <v>346</v>
      </c>
      <c r="G86" t="s">
        <v>753</v>
      </c>
      <c r="H86" t="s">
        <v>647</v>
      </c>
      <c r="I86" t="s">
        <v>137</v>
      </c>
      <c r="J86" t="s">
        <v>39</v>
      </c>
      <c r="K86">
        <v>53</v>
      </c>
      <c r="L86" t="s">
        <v>32</v>
      </c>
      <c r="M86">
        <v>32</v>
      </c>
      <c r="N86">
        <v>1</v>
      </c>
      <c r="O86">
        <v>765.81</v>
      </c>
      <c r="P86" s="1">
        <v>45600.338888888888</v>
      </c>
    </row>
    <row r="87" spans="1:16" x14ac:dyDescent="0.3">
      <c r="A87" t="s">
        <v>883</v>
      </c>
      <c r="B87" t="s">
        <v>388</v>
      </c>
      <c r="C87">
        <v>591.98</v>
      </c>
      <c r="D87" s="1">
        <v>45044.688888888886</v>
      </c>
      <c r="E87" t="s">
        <v>18</v>
      </c>
      <c r="F87" t="s">
        <v>54</v>
      </c>
      <c r="G87" t="s">
        <v>802</v>
      </c>
      <c r="H87" t="s">
        <v>517</v>
      </c>
      <c r="I87" t="s">
        <v>702</v>
      </c>
      <c r="J87" t="s">
        <v>39</v>
      </c>
      <c r="K87">
        <v>28</v>
      </c>
      <c r="L87" t="s">
        <v>24</v>
      </c>
      <c r="M87">
        <v>132</v>
      </c>
      <c r="N87">
        <v>1</v>
      </c>
      <c r="O87">
        <v>387.65</v>
      </c>
      <c r="P87" s="1">
        <v>45600.338194444441</v>
      </c>
    </row>
    <row r="88" spans="1:16" x14ac:dyDescent="0.3">
      <c r="A88" t="s">
        <v>884</v>
      </c>
      <c r="B88" t="s">
        <v>771</v>
      </c>
      <c r="C88">
        <v>872.72</v>
      </c>
      <c r="D88" s="1">
        <v>45040.699305555558</v>
      </c>
      <c r="E88" t="s">
        <v>18</v>
      </c>
      <c r="F88" t="s">
        <v>63</v>
      </c>
      <c r="G88" t="s">
        <v>803</v>
      </c>
      <c r="H88" t="s">
        <v>885</v>
      </c>
      <c r="I88" t="s">
        <v>149</v>
      </c>
      <c r="J88" t="s">
        <v>31</v>
      </c>
      <c r="K88">
        <v>22</v>
      </c>
      <c r="L88" t="s">
        <v>24</v>
      </c>
      <c r="M88">
        <v>288</v>
      </c>
      <c r="N88">
        <v>1</v>
      </c>
      <c r="O88">
        <v>503.01</v>
      </c>
      <c r="P88" s="1">
        <v>45600.340277777781</v>
      </c>
    </row>
    <row r="89" spans="1:16" x14ac:dyDescent="0.3">
      <c r="A89" t="s">
        <v>886</v>
      </c>
      <c r="B89" t="s">
        <v>823</v>
      </c>
      <c r="C89">
        <v>209.02</v>
      </c>
      <c r="D89" s="1">
        <v>44988.713888888888</v>
      </c>
      <c r="E89" t="s">
        <v>18</v>
      </c>
      <c r="F89" t="s">
        <v>54</v>
      </c>
      <c r="G89" t="s">
        <v>762</v>
      </c>
      <c r="H89" t="s">
        <v>324</v>
      </c>
      <c r="I89" t="s">
        <v>581</v>
      </c>
      <c r="J89" t="s">
        <v>39</v>
      </c>
      <c r="K89">
        <v>21</v>
      </c>
      <c r="L89" t="s">
        <v>24</v>
      </c>
      <c r="M89">
        <v>74</v>
      </c>
      <c r="N89">
        <v>1</v>
      </c>
      <c r="O89">
        <v>187.9</v>
      </c>
      <c r="P89" s="1">
        <v>45600.34097222222</v>
      </c>
    </row>
    <row r="90" spans="1:16" x14ac:dyDescent="0.3">
      <c r="A90" t="s">
        <v>887</v>
      </c>
      <c r="B90" t="s">
        <v>353</v>
      </c>
      <c r="C90">
        <v>327.35000000000002</v>
      </c>
      <c r="D90" s="1">
        <v>45194.783333333333</v>
      </c>
      <c r="E90" t="s">
        <v>27</v>
      </c>
      <c r="F90" t="s">
        <v>258</v>
      </c>
      <c r="G90" t="s">
        <v>596</v>
      </c>
      <c r="H90" t="s">
        <v>805</v>
      </c>
      <c r="I90" t="s">
        <v>625</v>
      </c>
      <c r="J90" t="s">
        <v>23</v>
      </c>
      <c r="K90">
        <v>20</v>
      </c>
      <c r="L90" t="s">
        <v>24</v>
      </c>
      <c r="M90">
        <v>175</v>
      </c>
      <c r="N90">
        <v>1</v>
      </c>
      <c r="O90">
        <v>342.08</v>
      </c>
      <c r="P90" s="1">
        <v>45600.34097222222</v>
      </c>
    </row>
    <row r="91" spans="1:16" x14ac:dyDescent="0.3">
      <c r="A91" t="s">
        <v>890</v>
      </c>
      <c r="B91" t="s">
        <v>852</v>
      </c>
      <c r="C91">
        <v>732.53</v>
      </c>
      <c r="D91" s="1">
        <v>45068.70416666667</v>
      </c>
      <c r="E91" t="s">
        <v>27</v>
      </c>
      <c r="F91" t="s">
        <v>191</v>
      </c>
      <c r="G91" t="s">
        <v>795</v>
      </c>
      <c r="H91" t="s">
        <v>758</v>
      </c>
      <c r="I91" t="s">
        <v>261</v>
      </c>
      <c r="J91" t="s">
        <v>39</v>
      </c>
      <c r="K91">
        <v>26</v>
      </c>
      <c r="L91" t="s">
        <v>24</v>
      </c>
      <c r="M91">
        <v>116</v>
      </c>
      <c r="N91">
        <v>1</v>
      </c>
      <c r="O91">
        <v>441.54</v>
      </c>
      <c r="P91" s="1">
        <v>45600.341666666667</v>
      </c>
    </row>
    <row r="92" spans="1:16" x14ac:dyDescent="0.3">
      <c r="A92" t="s">
        <v>893</v>
      </c>
      <c r="B92" t="s">
        <v>379</v>
      </c>
      <c r="C92">
        <v>620.54</v>
      </c>
      <c r="D92" s="1">
        <v>45012.68472222222</v>
      </c>
      <c r="E92" t="s">
        <v>27</v>
      </c>
      <c r="F92" t="s">
        <v>72</v>
      </c>
      <c r="G92" t="s">
        <v>661</v>
      </c>
      <c r="H92" t="s">
        <v>683</v>
      </c>
      <c r="I92" t="s">
        <v>137</v>
      </c>
      <c r="J92" t="s">
        <v>23</v>
      </c>
      <c r="K92">
        <v>28</v>
      </c>
      <c r="L92" t="s">
        <v>24</v>
      </c>
      <c r="M92">
        <v>98</v>
      </c>
      <c r="N92">
        <v>1</v>
      </c>
      <c r="O92">
        <v>213.36</v>
      </c>
      <c r="P92" s="1">
        <v>45600.338194444441</v>
      </c>
    </row>
    <row r="93" spans="1:16" x14ac:dyDescent="0.3">
      <c r="A93" t="s">
        <v>540</v>
      </c>
      <c r="B93" t="s">
        <v>541</v>
      </c>
      <c r="C93">
        <v>108.75</v>
      </c>
      <c r="D93" s="1">
        <v>45216.67291666667</v>
      </c>
      <c r="E93" t="s">
        <v>18</v>
      </c>
      <c r="F93" t="s">
        <v>88</v>
      </c>
      <c r="G93" t="s">
        <v>542</v>
      </c>
      <c r="H93" t="s">
        <v>543</v>
      </c>
      <c r="I93" t="s">
        <v>544</v>
      </c>
      <c r="J93" t="s">
        <v>39</v>
      </c>
      <c r="K93">
        <v>50</v>
      </c>
      <c r="L93" t="s">
        <v>47</v>
      </c>
      <c r="M93">
        <v>23</v>
      </c>
      <c r="N93">
        <v>4</v>
      </c>
      <c r="O93">
        <v>14829.85</v>
      </c>
      <c r="P93" s="1">
        <v>45600.340277777781</v>
      </c>
    </row>
    <row r="94" spans="1:16" x14ac:dyDescent="0.3">
      <c r="A94" t="s">
        <v>256</v>
      </c>
      <c r="B94" t="s">
        <v>257</v>
      </c>
      <c r="C94">
        <v>1762.28</v>
      </c>
      <c r="D94" s="1">
        <v>45205.670138888891</v>
      </c>
      <c r="E94" t="s">
        <v>18</v>
      </c>
      <c r="F94" t="s">
        <v>258</v>
      </c>
      <c r="G94" t="s">
        <v>259</v>
      </c>
      <c r="H94" t="s">
        <v>260</v>
      </c>
      <c r="I94" t="s">
        <v>261</v>
      </c>
      <c r="J94" t="s">
        <v>39</v>
      </c>
      <c r="K94">
        <v>24</v>
      </c>
      <c r="L94" t="s">
        <v>24</v>
      </c>
      <c r="M94">
        <v>150</v>
      </c>
      <c r="N94">
        <v>1</v>
      </c>
      <c r="O94">
        <v>1380.34</v>
      </c>
      <c r="P94" s="1">
        <v>45600.340277777781</v>
      </c>
    </row>
    <row r="95" spans="1:16" x14ac:dyDescent="0.3">
      <c r="A95" t="s">
        <v>894</v>
      </c>
      <c r="B95" t="s">
        <v>801</v>
      </c>
      <c r="C95">
        <v>981.76</v>
      </c>
      <c r="D95" s="1">
        <v>45194.682638888888</v>
      </c>
      <c r="E95" t="s">
        <v>18</v>
      </c>
      <c r="F95" t="s">
        <v>444</v>
      </c>
      <c r="G95" t="s">
        <v>871</v>
      </c>
      <c r="H95" t="s">
        <v>833</v>
      </c>
      <c r="I95" t="s">
        <v>628</v>
      </c>
      <c r="J95" t="s">
        <v>31</v>
      </c>
      <c r="K95">
        <v>45</v>
      </c>
      <c r="L95" t="s">
        <v>47</v>
      </c>
      <c r="M95">
        <v>234</v>
      </c>
      <c r="N95">
        <v>1</v>
      </c>
      <c r="O95">
        <v>602.36</v>
      </c>
      <c r="P95" s="1">
        <v>45600.337500000001</v>
      </c>
    </row>
    <row r="96" spans="1:16" x14ac:dyDescent="0.3">
      <c r="A96" t="s">
        <v>895</v>
      </c>
      <c r="B96" t="s">
        <v>808</v>
      </c>
      <c r="C96">
        <v>633.87</v>
      </c>
      <c r="D96" s="1">
        <v>45268.67083333333</v>
      </c>
      <c r="E96" t="s">
        <v>18</v>
      </c>
      <c r="F96" t="s">
        <v>66</v>
      </c>
      <c r="G96" t="s">
        <v>896</v>
      </c>
      <c r="H96" t="s">
        <v>547</v>
      </c>
      <c r="I96" t="s">
        <v>75</v>
      </c>
      <c r="J96" t="s">
        <v>31</v>
      </c>
      <c r="K96">
        <v>27</v>
      </c>
      <c r="L96" t="s">
        <v>24</v>
      </c>
      <c r="M96">
        <v>175</v>
      </c>
      <c r="N96">
        <v>1</v>
      </c>
      <c r="O96">
        <v>330.16</v>
      </c>
      <c r="P96" s="1">
        <v>45600.339583333334</v>
      </c>
    </row>
    <row r="97" spans="1:16" x14ac:dyDescent="0.3">
      <c r="A97" t="s">
        <v>897</v>
      </c>
      <c r="B97" t="s">
        <v>554</v>
      </c>
      <c r="C97">
        <v>849.76</v>
      </c>
      <c r="D97" s="1">
        <v>45154.686111111114</v>
      </c>
      <c r="E97" t="s">
        <v>18</v>
      </c>
      <c r="F97" t="s">
        <v>612</v>
      </c>
      <c r="G97" t="s">
        <v>617</v>
      </c>
      <c r="H97" t="s">
        <v>735</v>
      </c>
      <c r="I97" t="s">
        <v>428</v>
      </c>
      <c r="J97" t="s">
        <v>39</v>
      </c>
      <c r="K97">
        <v>25</v>
      </c>
      <c r="L97" t="s">
        <v>24</v>
      </c>
      <c r="M97">
        <v>269</v>
      </c>
      <c r="N97">
        <v>1</v>
      </c>
      <c r="O97">
        <v>373.88</v>
      </c>
      <c r="P97" s="1">
        <v>45600.338194444441</v>
      </c>
    </row>
    <row r="98" spans="1:16" x14ac:dyDescent="0.3">
      <c r="A98" t="s">
        <v>898</v>
      </c>
      <c r="B98" t="s">
        <v>180</v>
      </c>
      <c r="C98">
        <v>566.33000000000004</v>
      </c>
      <c r="D98" s="1">
        <v>45145.693749999999</v>
      </c>
      <c r="E98" t="s">
        <v>27</v>
      </c>
      <c r="F98" t="s">
        <v>251</v>
      </c>
      <c r="G98" t="s">
        <v>759</v>
      </c>
      <c r="H98" t="s">
        <v>260</v>
      </c>
      <c r="I98" t="s">
        <v>496</v>
      </c>
      <c r="J98" t="s">
        <v>39</v>
      </c>
      <c r="K98">
        <v>24</v>
      </c>
      <c r="L98" t="s">
        <v>24</v>
      </c>
      <c r="M98">
        <v>66</v>
      </c>
      <c r="N98">
        <v>1</v>
      </c>
      <c r="O98">
        <v>379.82</v>
      </c>
      <c r="P98" s="1">
        <v>45600.338194444441</v>
      </c>
    </row>
    <row r="99" spans="1:16" x14ac:dyDescent="0.3">
      <c r="A99" t="s">
        <v>553</v>
      </c>
      <c r="B99" t="s">
        <v>554</v>
      </c>
      <c r="C99">
        <v>238.54</v>
      </c>
      <c r="D99" s="1">
        <v>45023.669444444444</v>
      </c>
      <c r="E99" t="s">
        <v>18</v>
      </c>
      <c r="F99" t="s">
        <v>19</v>
      </c>
      <c r="G99" t="s">
        <v>275</v>
      </c>
      <c r="H99" t="s">
        <v>555</v>
      </c>
      <c r="I99" t="s">
        <v>325</v>
      </c>
      <c r="J99" t="s">
        <v>39</v>
      </c>
      <c r="K99">
        <v>19</v>
      </c>
      <c r="L99" t="s">
        <v>24</v>
      </c>
      <c r="M99">
        <v>12</v>
      </c>
      <c r="N99">
        <v>4</v>
      </c>
      <c r="O99">
        <v>868.91</v>
      </c>
      <c r="P99" s="1">
        <v>45600.338194444441</v>
      </c>
    </row>
    <row r="100" spans="1:16" x14ac:dyDescent="0.3">
      <c r="A100" t="s">
        <v>899</v>
      </c>
      <c r="B100" t="s">
        <v>682</v>
      </c>
      <c r="C100">
        <v>540.4</v>
      </c>
      <c r="D100" s="1">
        <v>44979.695833333331</v>
      </c>
      <c r="E100" t="s">
        <v>18</v>
      </c>
      <c r="F100" t="s">
        <v>88</v>
      </c>
      <c r="G100" t="s">
        <v>695</v>
      </c>
      <c r="H100" t="s">
        <v>166</v>
      </c>
      <c r="I100" t="s">
        <v>705</v>
      </c>
      <c r="J100" t="s">
        <v>23</v>
      </c>
      <c r="K100">
        <v>45</v>
      </c>
      <c r="L100" t="s">
        <v>47</v>
      </c>
      <c r="M100">
        <v>272</v>
      </c>
      <c r="N100">
        <v>1</v>
      </c>
      <c r="O100">
        <v>425.77</v>
      </c>
      <c r="P100" s="1">
        <v>45600.337500000001</v>
      </c>
    </row>
    <row r="101" spans="1:16" x14ac:dyDescent="0.3">
      <c r="A101" t="s">
        <v>900</v>
      </c>
      <c r="B101" t="s">
        <v>369</v>
      </c>
      <c r="C101">
        <v>270.54000000000002</v>
      </c>
      <c r="D101" s="1">
        <v>45019.765277777777</v>
      </c>
      <c r="E101" t="s">
        <v>27</v>
      </c>
      <c r="F101" t="s">
        <v>560</v>
      </c>
      <c r="G101" t="s">
        <v>790</v>
      </c>
      <c r="H101" t="s">
        <v>901</v>
      </c>
      <c r="I101" t="s">
        <v>38</v>
      </c>
      <c r="J101" t="s">
        <v>39</v>
      </c>
      <c r="K101">
        <v>20</v>
      </c>
      <c r="L101" t="s">
        <v>24</v>
      </c>
      <c r="M101">
        <v>139</v>
      </c>
      <c r="N101">
        <v>1</v>
      </c>
      <c r="O101">
        <v>269.77999999999997</v>
      </c>
      <c r="P101" s="1">
        <v>45600.339583333334</v>
      </c>
    </row>
    <row r="102" spans="1:16" x14ac:dyDescent="0.3">
      <c r="A102" t="s">
        <v>902</v>
      </c>
      <c r="B102" t="s">
        <v>824</v>
      </c>
      <c r="C102">
        <v>326.02999999999997</v>
      </c>
      <c r="D102" s="1">
        <v>45055.70416666667</v>
      </c>
      <c r="E102" t="s">
        <v>27</v>
      </c>
      <c r="F102" t="s">
        <v>287</v>
      </c>
      <c r="G102" t="s">
        <v>649</v>
      </c>
      <c r="H102" t="s">
        <v>903</v>
      </c>
      <c r="I102" t="s">
        <v>703</v>
      </c>
      <c r="J102" t="s">
        <v>31</v>
      </c>
      <c r="K102">
        <v>18</v>
      </c>
      <c r="L102" t="s">
        <v>24</v>
      </c>
      <c r="M102">
        <v>137</v>
      </c>
      <c r="N102">
        <v>1</v>
      </c>
      <c r="O102">
        <v>290.24</v>
      </c>
      <c r="P102" s="1">
        <v>45600.34097222222</v>
      </c>
    </row>
    <row r="103" spans="1:16" x14ac:dyDescent="0.3">
      <c r="A103" t="s">
        <v>904</v>
      </c>
      <c r="B103" t="s">
        <v>227</v>
      </c>
      <c r="C103">
        <v>473.2</v>
      </c>
      <c r="D103" s="1">
        <v>45145.668055555558</v>
      </c>
      <c r="E103" t="s">
        <v>18</v>
      </c>
      <c r="F103" t="s">
        <v>88</v>
      </c>
      <c r="G103" t="s">
        <v>775</v>
      </c>
      <c r="H103" t="s">
        <v>626</v>
      </c>
      <c r="I103" t="s">
        <v>202</v>
      </c>
      <c r="J103" t="s">
        <v>31</v>
      </c>
      <c r="K103">
        <v>34</v>
      </c>
      <c r="L103" t="s">
        <v>47</v>
      </c>
      <c r="M103">
        <v>173</v>
      </c>
      <c r="N103">
        <v>1</v>
      </c>
      <c r="O103">
        <v>248.52</v>
      </c>
      <c r="P103" s="1">
        <v>45600.340277777781</v>
      </c>
    </row>
    <row r="104" spans="1:16" x14ac:dyDescent="0.3">
      <c r="A104" t="s">
        <v>905</v>
      </c>
      <c r="B104" t="s">
        <v>301</v>
      </c>
      <c r="C104">
        <v>720.89</v>
      </c>
      <c r="D104" s="1">
        <v>45278.715277777781</v>
      </c>
      <c r="E104" t="s">
        <v>18</v>
      </c>
      <c r="F104" t="s">
        <v>19</v>
      </c>
      <c r="G104" t="s">
        <v>834</v>
      </c>
      <c r="H104" t="s">
        <v>787</v>
      </c>
      <c r="I104" t="s">
        <v>581</v>
      </c>
      <c r="J104" t="s">
        <v>39</v>
      </c>
      <c r="K104">
        <v>27</v>
      </c>
      <c r="L104" t="s">
        <v>24</v>
      </c>
      <c r="M104">
        <v>120</v>
      </c>
      <c r="N104">
        <v>1</v>
      </c>
      <c r="O104">
        <v>447.06</v>
      </c>
      <c r="P104" s="1">
        <v>45600.340277777781</v>
      </c>
    </row>
    <row r="105" spans="1:16" x14ac:dyDescent="0.3">
      <c r="A105" t="s">
        <v>906</v>
      </c>
      <c r="B105" t="s">
        <v>701</v>
      </c>
      <c r="C105">
        <v>680.76</v>
      </c>
      <c r="D105" s="1">
        <v>44984.693055555559</v>
      </c>
      <c r="E105" t="s">
        <v>18</v>
      </c>
      <c r="F105" t="s">
        <v>66</v>
      </c>
      <c r="G105" t="s">
        <v>490</v>
      </c>
      <c r="H105" t="s">
        <v>427</v>
      </c>
      <c r="I105" t="s">
        <v>584</v>
      </c>
      <c r="J105" t="s">
        <v>23</v>
      </c>
      <c r="K105">
        <v>21</v>
      </c>
      <c r="L105" t="s">
        <v>24</v>
      </c>
      <c r="M105">
        <v>165</v>
      </c>
      <c r="N105">
        <v>1</v>
      </c>
      <c r="O105">
        <v>572.97</v>
      </c>
      <c r="P105" s="1">
        <v>45600.339583333334</v>
      </c>
    </row>
    <row r="106" spans="1:16" x14ac:dyDescent="0.3">
      <c r="A106" t="s">
        <v>907</v>
      </c>
      <c r="B106" t="s">
        <v>760</v>
      </c>
      <c r="C106">
        <v>684.96</v>
      </c>
      <c r="D106" s="1">
        <v>44935.679861111108</v>
      </c>
      <c r="E106" t="s">
        <v>18</v>
      </c>
      <c r="F106" t="s">
        <v>459</v>
      </c>
      <c r="G106" t="s">
        <v>755</v>
      </c>
      <c r="H106" t="s">
        <v>29</v>
      </c>
      <c r="I106" t="s">
        <v>120</v>
      </c>
      <c r="J106" t="s">
        <v>39</v>
      </c>
      <c r="K106">
        <v>21</v>
      </c>
      <c r="L106" t="s">
        <v>24</v>
      </c>
      <c r="M106">
        <v>31</v>
      </c>
      <c r="N106">
        <v>1</v>
      </c>
      <c r="O106">
        <v>526.66999999999996</v>
      </c>
      <c r="P106" s="1">
        <v>45600.338194444441</v>
      </c>
    </row>
    <row r="107" spans="1:16" x14ac:dyDescent="0.3">
      <c r="A107" t="s">
        <v>908</v>
      </c>
      <c r="B107" t="s">
        <v>706</v>
      </c>
      <c r="C107">
        <v>720.13</v>
      </c>
      <c r="D107" s="1">
        <v>44971.748611111114</v>
      </c>
      <c r="E107" t="s">
        <v>27</v>
      </c>
      <c r="F107" t="s">
        <v>72</v>
      </c>
      <c r="G107" t="s">
        <v>827</v>
      </c>
      <c r="H107" t="s">
        <v>738</v>
      </c>
      <c r="I107" t="s">
        <v>739</v>
      </c>
      <c r="J107" t="s">
        <v>39</v>
      </c>
      <c r="K107">
        <v>22</v>
      </c>
      <c r="L107" t="s">
        <v>24</v>
      </c>
      <c r="M107">
        <v>96</v>
      </c>
      <c r="N107">
        <v>1</v>
      </c>
      <c r="O107">
        <v>387.02</v>
      </c>
      <c r="P107" s="1">
        <v>45600.338194444441</v>
      </c>
    </row>
    <row r="108" spans="1:16" x14ac:dyDescent="0.3">
      <c r="A108" t="s">
        <v>289</v>
      </c>
      <c r="B108" t="s">
        <v>290</v>
      </c>
      <c r="C108">
        <v>1496.57</v>
      </c>
      <c r="D108" s="1">
        <v>44984.679166666669</v>
      </c>
      <c r="E108" t="s">
        <v>18</v>
      </c>
      <c r="F108" t="s">
        <v>258</v>
      </c>
      <c r="G108" t="s">
        <v>291</v>
      </c>
      <c r="H108" t="s">
        <v>292</v>
      </c>
      <c r="I108" t="s">
        <v>293</v>
      </c>
      <c r="J108" t="s">
        <v>31</v>
      </c>
      <c r="K108">
        <v>33</v>
      </c>
      <c r="L108" t="s">
        <v>32</v>
      </c>
      <c r="M108">
        <v>95</v>
      </c>
      <c r="N108">
        <v>1</v>
      </c>
      <c r="O108">
        <v>969.06</v>
      </c>
      <c r="P108" s="1">
        <v>45600.337500000001</v>
      </c>
    </row>
    <row r="109" spans="1:16" x14ac:dyDescent="0.3">
      <c r="A109" t="s">
        <v>909</v>
      </c>
      <c r="B109" t="s">
        <v>782</v>
      </c>
      <c r="C109">
        <v>584.88</v>
      </c>
      <c r="D109" s="1">
        <v>45279.72152777778</v>
      </c>
      <c r="E109" t="s">
        <v>18</v>
      </c>
      <c r="F109" t="s">
        <v>284</v>
      </c>
      <c r="G109" t="s">
        <v>847</v>
      </c>
      <c r="H109" t="s">
        <v>187</v>
      </c>
      <c r="I109" t="s">
        <v>318</v>
      </c>
      <c r="J109" t="s">
        <v>39</v>
      </c>
      <c r="K109">
        <v>26</v>
      </c>
      <c r="L109" t="s">
        <v>24</v>
      </c>
      <c r="M109">
        <v>121</v>
      </c>
      <c r="N109">
        <v>1</v>
      </c>
      <c r="O109">
        <v>548.45000000000005</v>
      </c>
      <c r="P109" s="1">
        <v>45600.34097222222</v>
      </c>
    </row>
    <row r="110" spans="1:16" x14ac:dyDescent="0.3">
      <c r="A110" t="s">
        <v>910</v>
      </c>
      <c r="B110" t="s">
        <v>467</v>
      </c>
      <c r="C110">
        <v>537.86</v>
      </c>
      <c r="D110" s="1">
        <v>45188.697222222225</v>
      </c>
      <c r="E110" t="s">
        <v>18</v>
      </c>
      <c r="F110" t="s">
        <v>66</v>
      </c>
      <c r="G110" t="s">
        <v>341</v>
      </c>
      <c r="H110" t="s">
        <v>857</v>
      </c>
      <c r="I110" t="s">
        <v>55</v>
      </c>
      <c r="J110" t="s">
        <v>31</v>
      </c>
      <c r="K110">
        <v>27</v>
      </c>
      <c r="L110" t="s">
        <v>24</v>
      </c>
      <c r="M110">
        <v>134</v>
      </c>
      <c r="N110">
        <v>1</v>
      </c>
      <c r="O110">
        <v>293.06</v>
      </c>
      <c r="P110" s="1">
        <v>45600.339583333334</v>
      </c>
    </row>
    <row r="111" spans="1:16" x14ac:dyDescent="0.3">
      <c r="A111" t="s">
        <v>911</v>
      </c>
      <c r="B111" t="s">
        <v>383</v>
      </c>
      <c r="C111">
        <v>800.29</v>
      </c>
      <c r="D111" s="1">
        <v>45264.684027777781</v>
      </c>
      <c r="E111" t="s">
        <v>27</v>
      </c>
      <c r="F111" t="s">
        <v>114</v>
      </c>
      <c r="G111" t="s">
        <v>36</v>
      </c>
      <c r="H111" t="s">
        <v>912</v>
      </c>
      <c r="I111" t="s">
        <v>149</v>
      </c>
      <c r="J111" t="s">
        <v>23</v>
      </c>
      <c r="K111">
        <v>20</v>
      </c>
      <c r="L111" t="s">
        <v>24</v>
      </c>
      <c r="M111">
        <v>84</v>
      </c>
      <c r="N111">
        <v>1</v>
      </c>
      <c r="O111">
        <v>693.4</v>
      </c>
      <c r="P111" s="1">
        <v>45600.34097222222</v>
      </c>
    </row>
    <row r="112" spans="1:16" x14ac:dyDescent="0.3">
      <c r="A112" t="s">
        <v>913</v>
      </c>
      <c r="B112" t="s">
        <v>247</v>
      </c>
      <c r="C112">
        <v>431.31</v>
      </c>
      <c r="D112" s="1">
        <v>45047.679166666669</v>
      </c>
      <c r="E112" t="s">
        <v>27</v>
      </c>
      <c r="F112" t="s">
        <v>248</v>
      </c>
      <c r="G112" t="s">
        <v>656</v>
      </c>
      <c r="H112" t="s">
        <v>892</v>
      </c>
      <c r="I112" t="s">
        <v>398</v>
      </c>
      <c r="J112" t="s">
        <v>31</v>
      </c>
      <c r="K112">
        <v>23</v>
      </c>
      <c r="L112" t="s">
        <v>24</v>
      </c>
      <c r="M112">
        <v>99</v>
      </c>
      <c r="N112">
        <v>1</v>
      </c>
      <c r="O112">
        <v>342.73</v>
      </c>
      <c r="P112" s="1">
        <v>45600.339583333334</v>
      </c>
    </row>
    <row r="113" spans="1:16" x14ac:dyDescent="0.3">
      <c r="A113" t="s">
        <v>311</v>
      </c>
      <c r="B113" t="s">
        <v>312</v>
      </c>
      <c r="C113">
        <v>1192.95</v>
      </c>
      <c r="D113" s="1">
        <v>45264.770833333336</v>
      </c>
      <c r="E113" t="s">
        <v>18</v>
      </c>
      <c r="F113" t="s">
        <v>302</v>
      </c>
      <c r="G113" t="s">
        <v>313</v>
      </c>
      <c r="H113" t="s">
        <v>314</v>
      </c>
      <c r="I113" t="s">
        <v>315</v>
      </c>
      <c r="J113" t="s">
        <v>23</v>
      </c>
      <c r="K113">
        <v>23</v>
      </c>
      <c r="L113" t="s">
        <v>24</v>
      </c>
      <c r="M113">
        <v>73</v>
      </c>
      <c r="N113">
        <v>1</v>
      </c>
      <c r="O113">
        <v>325.14999999999998</v>
      </c>
      <c r="P113" s="1">
        <v>45600.338888888888</v>
      </c>
    </row>
    <row r="114" spans="1:16" x14ac:dyDescent="0.3">
      <c r="A114" t="s">
        <v>915</v>
      </c>
      <c r="B114" t="s">
        <v>891</v>
      </c>
      <c r="C114">
        <v>287.51</v>
      </c>
      <c r="D114" s="1">
        <v>45068.706250000003</v>
      </c>
      <c r="E114" t="s">
        <v>18</v>
      </c>
      <c r="F114" t="s">
        <v>54</v>
      </c>
      <c r="G114" t="s">
        <v>916</v>
      </c>
      <c r="H114" t="s">
        <v>756</v>
      </c>
      <c r="I114" t="s">
        <v>277</v>
      </c>
      <c r="J114" t="s">
        <v>31</v>
      </c>
      <c r="K114">
        <v>22</v>
      </c>
      <c r="L114" t="s">
        <v>24</v>
      </c>
      <c r="M114">
        <v>255</v>
      </c>
      <c r="N114">
        <v>1</v>
      </c>
      <c r="O114">
        <v>187.65</v>
      </c>
      <c r="P114" s="1">
        <v>45600.338888888888</v>
      </c>
    </row>
    <row r="115" spans="1:16" x14ac:dyDescent="0.3">
      <c r="A115" t="s">
        <v>917</v>
      </c>
      <c r="B115" t="s">
        <v>306</v>
      </c>
      <c r="C115">
        <v>762.74</v>
      </c>
      <c r="D115" s="1">
        <v>45048.724999999999</v>
      </c>
      <c r="E115" t="s">
        <v>18</v>
      </c>
      <c r="F115" t="s">
        <v>181</v>
      </c>
      <c r="G115" t="s">
        <v>807</v>
      </c>
      <c r="H115" t="s">
        <v>875</v>
      </c>
      <c r="I115" t="s">
        <v>299</v>
      </c>
      <c r="J115" t="s">
        <v>39</v>
      </c>
      <c r="K115">
        <v>64</v>
      </c>
      <c r="L115" t="s">
        <v>47</v>
      </c>
      <c r="M115">
        <v>244</v>
      </c>
      <c r="N115">
        <v>1</v>
      </c>
      <c r="O115">
        <v>207.1</v>
      </c>
      <c r="P115" s="1">
        <v>45600.337500000001</v>
      </c>
    </row>
    <row r="116" spans="1:16" x14ac:dyDescent="0.3">
      <c r="A116" t="s">
        <v>587</v>
      </c>
      <c r="B116" t="s">
        <v>588</v>
      </c>
      <c r="C116">
        <v>737.46</v>
      </c>
      <c r="D116" s="1">
        <v>44929.686111111114</v>
      </c>
      <c r="E116" t="s">
        <v>27</v>
      </c>
      <c r="F116" t="s">
        <v>365</v>
      </c>
      <c r="G116" t="s">
        <v>589</v>
      </c>
      <c r="H116" t="s">
        <v>590</v>
      </c>
      <c r="I116" t="s">
        <v>331</v>
      </c>
      <c r="J116" t="s">
        <v>23</v>
      </c>
      <c r="K116">
        <v>53</v>
      </c>
      <c r="L116" t="s">
        <v>47</v>
      </c>
      <c r="M116">
        <v>75</v>
      </c>
      <c r="N116">
        <v>4</v>
      </c>
      <c r="O116">
        <v>634.16</v>
      </c>
      <c r="P116" s="1">
        <v>45600.338194444441</v>
      </c>
    </row>
    <row r="117" spans="1:16" x14ac:dyDescent="0.3">
      <c r="A117" t="s">
        <v>594</v>
      </c>
      <c r="B117" t="s">
        <v>595</v>
      </c>
      <c r="C117">
        <v>10.15</v>
      </c>
      <c r="D117" s="1">
        <v>44980.70208333333</v>
      </c>
      <c r="E117" t="s">
        <v>18</v>
      </c>
      <c r="F117" t="s">
        <v>28</v>
      </c>
      <c r="G117" t="s">
        <v>596</v>
      </c>
      <c r="H117" t="s">
        <v>597</v>
      </c>
      <c r="I117" t="s">
        <v>159</v>
      </c>
      <c r="J117" t="s">
        <v>39</v>
      </c>
      <c r="K117">
        <v>59</v>
      </c>
      <c r="L117" t="s">
        <v>47</v>
      </c>
      <c r="M117">
        <v>58</v>
      </c>
      <c r="N117">
        <v>5</v>
      </c>
      <c r="O117">
        <v>7155.04</v>
      </c>
      <c r="P117" s="1">
        <v>45600.34097222222</v>
      </c>
    </row>
    <row r="118" spans="1:16" x14ac:dyDescent="0.3">
      <c r="A118" t="s">
        <v>918</v>
      </c>
      <c r="B118" t="s">
        <v>754</v>
      </c>
      <c r="C118">
        <v>879.25</v>
      </c>
      <c r="D118" s="1">
        <v>45237.738888888889</v>
      </c>
      <c r="E118" t="s">
        <v>27</v>
      </c>
      <c r="F118" t="s">
        <v>258</v>
      </c>
      <c r="G118" t="s">
        <v>654</v>
      </c>
      <c r="H118" t="s">
        <v>193</v>
      </c>
      <c r="I118" t="s">
        <v>288</v>
      </c>
      <c r="J118" t="s">
        <v>31</v>
      </c>
      <c r="K118">
        <v>24</v>
      </c>
      <c r="L118" t="s">
        <v>24</v>
      </c>
      <c r="M118">
        <v>137</v>
      </c>
      <c r="N118">
        <v>1</v>
      </c>
      <c r="O118">
        <v>125.85</v>
      </c>
      <c r="P118" s="1">
        <v>45600.338888888888</v>
      </c>
    </row>
    <row r="119" spans="1:16" x14ac:dyDescent="0.3">
      <c r="A119" t="s">
        <v>919</v>
      </c>
      <c r="B119" t="s">
        <v>837</v>
      </c>
      <c r="C119">
        <v>177.94</v>
      </c>
      <c r="D119" s="1">
        <v>45195.672222222223</v>
      </c>
      <c r="E119" t="s">
        <v>18</v>
      </c>
      <c r="F119" t="s">
        <v>444</v>
      </c>
      <c r="G119" t="s">
        <v>916</v>
      </c>
      <c r="H119" t="s">
        <v>889</v>
      </c>
      <c r="I119" t="s">
        <v>351</v>
      </c>
      <c r="J119" t="s">
        <v>31</v>
      </c>
      <c r="K119">
        <v>19</v>
      </c>
      <c r="L119" t="s">
        <v>24</v>
      </c>
      <c r="M119">
        <v>173</v>
      </c>
      <c r="N119">
        <v>1</v>
      </c>
      <c r="O119">
        <v>123.24</v>
      </c>
      <c r="P119" s="1">
        <v>45600.34097222222</v>
      </c>
    </row>
    <row r="120" spans="1:16" x14ac:dyDescent="0.3">
      <c r="A120" t="s">
        <v>332</v>
      </c>
      <c r="B120" t="s">
        <v>333</v>
      </c>
      <c r="C120">
        <v>1431.54</v>
      </c>
      <c r="D120" s="1">
        <v>45271.682638888888</v>
      </c>
      <c r="E120" t="s">
        <v>18</v>
      </c>
      <c r="F120" t="s">
        <v>146</v>
      </c>
      <c r="G120" t="s">
        <v>334</v>
      </c>
      <c r="H120" t="s">
        <v>335</v>
      </c>
      <c r="I120" t="s">
        <v>252</v>
      </c>
      <c r="J120" t="s">
        <v>31</v>
      </c>
      <c r="K120">
        <v>20</v>
      </c>
      <c r="L120" t="s">
        <v>24</v>
      </c>
      <c r="M120">
        <v>84</v>
      </c>
      <c r="N120">
        <v>1</v>
      </c>
      <c r="O120">
        <v>1171.98</v>
      </c>
      <c r="P120" s="1">
        <v>45600.338888888888</v>
      </c>
    </row>
    <row r="121" spans="1:16" x14ac:dyDescent="0.3">
      <c r="A121" t="s">
        <v>920</v>
      </c>
      <c r="B121" t="s">
        <v>380</v>
      </c>
      <c r="C121">
        <v>615.16</v>
      </c>
      <c r="D121" s="1">
        <v>44963.694444444445</v>
      </c>
      <c r="E121" t="s">
        <v>18</v>
      </c>
      <c r="F121" t="s">
        <v>298</v>
      </c>
      <c r="G121" t="s">
        <v>750</v>
      </c>
      <c r="H121" t="s">
        <v>84</v>
      </c>
      <c r="I121" t="s">
        <v>719</v>
      </c>
      <c r="J121" t="s">
        <v>31</v>
      </c>
      <c r="K121">
        <v>26</v>
      </c>
      <c r="L121" t="s">
        <v>24</v>
      </c>
      <c r="M121">
        <v>140</v>
      </c>
      <c r="N121">
        <v>1</v>
      </c>
      <c r="O121">
        <v>214.61</v>
      </c>
      <c r="P121" s="1">
        <v>45600.337500000001</v>
      </c>
    </row>
    <row r="122" spans="1:16" x14ac:dyDescent="0.3">
      <c r="A122" t="s">
        <v>921</v>
      </c>
      <c r="B122" t="s">
        <v>658</v>
      </c>
      <c r="C122">
        <v>207.82</v>
      </c>
      <c r="D122" s="1">
        <v>44985.69027777778</v>
      </c>
      <c r="E122" t="s">
        <v>27</v>
      </c>
      <c r="F122" t="s">
        <v>302</v>
      </c>
      <c r="G122" t="s">
        <v>776</v>
      </c>
      <c r="H122" t="s">
        <v>767</v>
      </c>
      <c r="I122" t="s">
        <v>188</v>
      </c>
      <c r="J122" t="s">
        <v>31</v>
      </c>
      <c r="K122">
        <v>19</v>
      </c>
      <c r="L122" t="s">
        <v>24</v>
      </c>
      <c r="M122">
        <v>30</v>
      </c>
      <c r="N122">
        <v>1</v>
      </c>
      <c r="O122">
        <v>229.02</v>
      </c>
      <c r="P122" s="1">
        <v>45600.338194444441</v>
      </c>
    </row>
    <row r="123" spans="1:16" x14ac:dyDescent="0.3">
      <c r="A123" t="s">
        <v>598</v>
      </c>
      <c r="B123" t="s">
        <v>599</v>
      </c>
      <c r="C123">
        <v>15.81</v>
      </c>
      <c r="D123" s="1">
        <v>44987.775000000001</v>
      </c>
      <c r="E123" t="s">
        <v>18</v>
      </c>
      <c r="F123" t="s">
        <v>105</v>
      </c>
      <c r="G123" t="s">
        <v>600</v>
      </c>
      <c r="H123" t="s">
        <v>125</v>
      </c>
      <c r="I123" t="s">
        <v>472</v>
      </c>
      <c r="J123" t="s">
        <v>23</v>
      </c>
      <c r="K123">
        <v>69</v>
      </c>
      <c r="L123" t="s">
        <v>47</v>
      </c>
      <c r="M123">
        <v>11</v>
      </c>
      <c r="N123">
        <v>4</v>
      </c>
      <c r="O123">
        <v>8384.85</v>
      </c>
      <c r="P123" s="1">
        <v>45600.341666666667</v>
      </c>
    </row>
    <row r="124" spans="1:16" x14ac:dyDescent="0.3">
      <c r="A124" t="s">
        <v>922</v>
      </c>
      <c r="B124" t="s">
        <v>673</v>
      </c>
      <c r="C124">
        <v>308.85000000000002</v>
      </c>
      <c r="D124" s="1">
        <v>45259.752083333333</v>
      </c>
      <c r="E124" t="s">
        <v>27</v>
      </c>
      <c r="F124" t="s">
        <v>181</v>
      </c>
      <c r="G124" t="s">
        <v>923</v>
      </c>
      <c r="H124" t="s">
        <v>839</v>
      </c>
      <c r="I124" t="s">
        <v>269</v>
      </c>
      <c r="J124" t="s">
        <v>23</v>
      </c>
      <c r="K124">
        <v>20</v>
      </c>
      <c r="L124" t="s">
        <v>24</v>
      </c>
      <c r="M124">
        <v>33</v>
      </c>
      <c r="N124">
        <v>2</v>
      </c>
      <c r="O124">
        <v>333.19</v>
      </c>
      <c r="P124" s="1">
        <v>45600.338888888888</v>
      </c>
    </row>
    <row r="125" spans="1:16" x14ac:dyDescent="0.3">
      <c r="A125" t="s">
        <v>347</v>
      </c>
      <c r="B125" t="s">
        <v>348</v>
      </c>
      <c r="C125">
        <v>1454.52</v>
      </c>
      <c r="D125" s="1">
        <v>45191.675694444442</v>
      </c>
      <c r="E125" t="s">
        <v>18</v>
      </c>
      <c r="F125" t="s">
        <v>140</v>
      </c>
      <c r="G125" t="s">
        <v>349</v>
      </c>
      <c r="H125" t="s">
        <v>350</v>
      </c>
      <c r="I125" t="s">
        <v>351</v>
      </c>
      <c r="J125" t="s">
        <v>39</v>
      </c>
      <c r="K125">
        <v>27</v>
      </c>
      <c r="L125" t="s">
        <v>24</v>
      </c>
      <c r="M125">
        <v>20</v>
      </c>
      <c r="N125">
        <v>1</v>
      </c>
      <c r="O125">
        <v>1189.03</v>
      </c>
      <c r="P125" s="1">
        <v>45600.338194444441</v>
      </c>
    </row>
    <row r="126" spans="1:16" x14ac:dyDescent="0.3">
      <c r="A126" t="s">
        <v>924</v>
      </c>
      <c r="B126" t="s">
        <v>766</v>
      </c>
      <c r="C126">
        <v>806.97</v>
      </c>
      <c r="D126" s="1">
        <v>44992.741666666669</v>
      </c>
      <c r="E126" t="s">
        <v>18</v>
      </c>
      <c r="F126" t="s">
        <v>612</v>
      </c>
      <c r="G126" t="s">
        <v>888</v>
      </c>
      <c r="H126" t="s">
        <v>812</v>
      </c>
      <c r="I126" t="s">
        <v>307</v>
      </c>
      <c r="J126" t="s">
        <v>31</v>
      </c>
      <c r="K126">
        <v>25</v>
      </c>
      <c r="L126" t="s">
        <v>24</v>
      </c>
      <c r="M126">
        <v>11</v>
      </c>
      <c r="N126">
        <v>1</v>
      </c>
      <c r="O126">
        <v>102.2</v>
      </c>
      <c r="P126" s="1">
        <v>45600.338888888888</v>
      </c>
    </row>
    <row r="127" spans="1:16" x14ac:dyDescent="0.3">
      <c r="A127" t="s">
        <v>925</v>
      </c>
      <c r="B127" t="s">
        <v>680</v>
      </c>
      <c r="C127">
        <v>311.27999999999997</v>
      </c>
      <c r="D127" s="1">
        <v>45068.695138888892</v>
      </c>
      <c r="E127" t="s">
        <v>18</v>
      </c>
      <c r="F127" t="s">
        <v>248</v>
      </c>
      <c r="G127" t="s">
        <v>825</v>
      </c>
      <c r="H127" t="s">
        <v>708</v>
      </c>
      <c r="I127" t="s">
        <v>418</v>
      </c>
      <c r="J127" t="s">
        <v>23</v>
      </c>
      <c r="K127">
        <v>49</v>
      </c>
      <c r="L127" t="s">
        <v>47</v>
      </c>
      <c r="M127">
        <v>198</v>
      </c>
      <c r="N127">
        <v>1</v>
      </c>
      <c r="O127">
        <v>135.96</v>
      </c>
      <c r="P127" s="1">
        <v>45600.339583333334</v>
      </c>
    </row>
    <row r="128" spans="1:16" x14ac:dyDescent="0.3">
      <c r="A128" t="s">
        <v>926</v>
      </c>
      <c r="B128" t="s">
        <v>660</v>
      </c>
      <c r="C128">
        <v>502.9</v>
      </c>
      <c r="D128" s="1">
        <v>45187.717361111114</v>
      </c>
      <c r="E128" t="s">
        <v>27</v>
      </c>
      <c r="F128" t="s">
        <v>671</v>
      </c>
      <c r="G128" t="s">
        <v>818</v>
      </c>
      <c r="H128" t="s">
        <v>310</v>
      </c>
      <c r="I128" t="s">
        <v>55</v>
      </c>
      <c r="J128" t="s">
        <v>31</v>
      </c>
      <c r="K128">
        <v>26</v>
      </c>
      <c r="L128" t="s">
        <v>24</v>
      </c>
      <c r="M128">
        <v>141</v>
      </c>
      <c r="N128">
        <v>1</v>
      </c>
      <c r="O128">
        <v>341.24</v>
      </c>
      <c r="P128" s="1">
        <v>45600.338888888888</v>
      </c>
    </row>
    <row r="129" spans="1:16" x14ac:dyDescent="0.3">
      <c r="A129" t="s">
        <v>927</v>
      </c>
      <c r="B129" t="s">
        <v>217</v>
      </c>
      <c r="C129">
        <v>717.36</v>
      </c>
      <c r="D129" s="1">
        <v>44928.708333333336</v>
      </c>
      <c r="E129" t="s">
        <v>27</v>
      </c>
      <c r="F129" t="s">
        <v>114</v>
      </c>
      <c r="G129" t="s">
        <v>490</v>
      </c>
      <c r="H129" t="s">
        <v>330</v>
      </c>
      <c r="I129" t="s">
        <v>232</v>
      </c>
      <c r="J129" t="s">
        <v>31</v>
      </c>
      <c r="K129">
        <v>22</v>
      </c>
      <c r="L129" t="s">
        <v>24</v>
      </c>
      <c r="M129">
        <v>138</v>
      </c>
      <c r="N129">
        <v>1</v>
      </c>
      <c r="O129">
        <v>514.88</v>
      </c>
      <c r="P129" s="1">
        <v>45600.339583333334</v>
      </c>
    </row>
    <row r="130" spans="1:16" x14ac:dyDescent="0.3">
      <c r="A130" t="s">
        <v>928</v>
      </c>
      <c r="B130" t="s">
        <v>274</v>
      </c>
      <c r="C130">
        <v>281.91000000000003</v>
      </c>
      <c r="D130" s="1">
        <v>44938.715277777781</v>
      </c>
      <c r="E130" t="s">
        <v>18</v>
      </c>
      <c r="F130" t="s">
        <v>78</v>
      </c>
      <c r="G130" t="s">
        <v>89</v>
      </c>
      <c r="H130" t="s">
        <v>618</v>
      </c>
      <c r="I130" t="s">
        <v>702</v>
      </c>
      <c r="J130" t="s">
        <v>23</v>
      </c>
      <c r="K130">
        <v>25</v>
      </c>
      <c r="L130" t="s">
        <v>24</v>
      </c>
      <c r="M130">
        <v>269</v>
      </c>
      <c r="N130">
        <v>1</v>
      </c>
      <c r="O130">
        <v>225.53</v>
      </c>
      <c r="P130" s="1">
        <v>45600.338194444441</v>
      </c>
    </row>
    <row r="131" spans="1:16" x14ac:dyDescent="0.3">
      <c r="A131" t="s">
        <v>929</v>
      </c>
      <c r="B131" t="s">
        <v>736</v>
      </c>
      <c r="C131">
        <v>761.73</v>
      </c>
      <c r="D131" s="1">
        <v>45180.71875</v>
      </c>
      <c r="E131" t="s">
        <v>18</v>
      </c>
      <c r="F131" t="s">
        <v>35</v>
      </c>
      <c r="G131" t="s">
        <v>147</v>
      </c>
      <c r="H131" t="s">
        <v>734</v>
      </c>
      <c r="I131" t="s">
        <v>252</v>
      </c>
      <c r="J131" t="s">
        <v>39</v>
      </c>
      <c r="K131">
        <v>19</v>
      </c>
      <c r="L131" t="s">
        <v>24</v>
      </c>
      <c r="M131">
        <v>27</v>
      </c>
      <c r="N131">
        <v>1</v>
      </c>
      <c r="O131">
        <v>151.28</v>
      </c>
      <c r="P131" s="1">
        <v>45600.339583333334</v>
      </c>
    </row>
    <row r="132" spans="1:16" x14ac:dyDescent="0.3">
      <c r="A132" t="s">
        <v>930</v>
      </c>
      <c r="B132" t="s">
        <v>789</v>
      </c>
      <c r="C132">
        <v>155.56</v>
      </c>
      <c r="D132" s="1">
        <v>45040.671527777777</v>
      </c>
      <c r="E132" t="s">
        <v>27</v>
      </c>
      <c r="F132" t="s">
        <v>28</v>
      </c>
      <c r="G132" t="s">
        <v>836</v>
      </c>
      <c r="H132" t="s">
        <v>45</v>
      </c>
      <c r="I132" t="s">
        <v>423</v>
      </c>
      <c r="J132" t="s">
        <v>23</v>
      </c>
      <c r="K132">
        <v>19</v>
      </c>
      <c r="L132" t="s">
        <v>24</v>
      </c>
      <c r="M132">
        <v>64</v>
      </c>
      <c r="N132">
        <v>1</v>
      </c>
      <c r="O132">
        <v>129.79</v>
      </c>
      <c r="P132" s="1">
        <v>45600.338194444441</v>
      </c>
    </row>
    <row r="133" spans="1:16" x14ac:dyDescent="0.3">
      <c r="A133" t="s">
        <v>368</v>
      </c>
      <c r="B133" t="s">
        <v>369</v>
      </c>
      <c r="C133">
        <v>1493</v>
      </c>
      <c r="D133" s="1">
        <v>45084.711805555555</v>
      </c>
      <c r="E133" t="s">
        <v>18</v>
      </c>
      <c r="F133" t="s">
        <v>96</v>
      </c>
      <c r="G133" t="s">
        <v>370</v>
      </c>
      <c r="H133" t="s">
        <v>371</v>
      </c>
      <c r="I133" t="s">
        <v>255</v>
      </c>
      <c r="J133" t="s">
        <v>39</v>
      </c>
      <c r="K133">
        <v>69</v>
      </c>
      <c r="L133" t="s">
        <v>40</v>
      </c>
      <c r="M133">
        <v>151</v>
      </c>
      <c r="N133">
        <v>1</v>
      </c>
      <c r="O133">
        <v>1619.16</v>
      </c>
      <c r="P133" s="1">
        <v>45600.338194444441</v>
      </c>
    </row>
    <row r="134" spans="1:16" x14ac:dyDescent="0.3">
      <c r="A134" t="s">
        <v>372</v>
      </c>
      <c r="B134" t="s">
        <v>373</v>
      </c>
      <c r="C134">
        <v>1664.33</v>
      </c>
      <c r="D134" s="1">
        <v>45194.71597222222</v>
      </c>
      <c r="E134" t="s">
        <v>18</v>
      </c>
      <c r="F134" t="s">
        <v>43</v>
      </c>
      <c r="G134" t="s">
        <v>374</v>
      </c>
      <c r="H134" t="s">
        <v>375</v>
      </c>
      <c r="I134" t="s">
        <v>162</v>
      </c>
      <c r="J134" t="s">
        <v>23</v>
      </c>
      <c r="K134">
        <v>18</v>
      </c>
      <c r="L134" t="s">
        <v>24</v>
      </c>
      <c r="M134">
        <v>65</v>
      </c>
      <c r="N134">
        <v>1</v>
      </c>
      <c r="O134">
        <v>1588.31</v>
      </c>
      <c r="P134" s="1">
        <v>45600.338194444441</v>
      </c>
    </row>
    <row r="135" spans="1:16" x14ac:dyDescent="0.3">
      <c r="A135" t="s">
        <v>931</v>
      </c>
      <c r="B135" t="s">
        <v>629</v>
      </c>
      <c r="C135">
        <v>719.76</v>
      </c>
      <c r="D135" s="1">
        <v>45015.743055555555</v>
      </c>
      <c r="E135" t="s">
        <v>18</v>
      </c>
      <c r="F135" t="s">
        <v>156</v>
      </c>
      <c r="G135" t="s">
        <v>651</v>
      </c>
      <c r="H135" t="s">
        <v>717</v>
      </c>
      <c r="I135" t="s">
        <v>703</v>
      </c>
      <c r="J135" t="s">
        <v>23</v>
      </c>
      <c r="K135">
        <v>19</v>
      </c>
      <c r="L135" t="s">
        <v>24</v>
      </c>
      <c r="M135">
        <v>190</v>
      </c>
      <c r="N135">
        <v>1</v>
      </c>
      <c r="O135">
        <v>690.52</v>
      </c>
      <c r="P135" s="1">
        <v>45600.34097222222</v>
      </c>
    </row>
    <row r="136" spans="1:16" x14ac:dyDescent="0.3">
      <c r="A136" t="s">
        <v>932</v>
      </c>
      <c r="B136" t="s">
        <v>835</v>
      </c>
      <c r="C136">
        <v>190.9</v>
      </c>
      <c r="D136" s="1">
        <v>45208.678472222222</v>
      </c>
      <c r="E136" t="s">
        <v>18</v>
      </c>
      <c r="F136" t="s">
        <v>58</v>
      </c>
      <c r="G136" t="s">
        <v>914</v>
      </c>
      <c r="H136" t="s">
        <v>696</v>
      </c>
      <c r="I136" t="s">
        <v>577</v>
      </c>
      <c r="J136" t="s">
        <v>31</v>
      </c>
      <c r="K136">
        <v>28</v>
      </c>
      <c r="L136" t="s">
        <v>24</v>
      </c>
      <c r="M136">
        <v>40</v>
      </c>
      <c r="N136">
        <v>1</v>
      </c>
      <c r="O136">
        <v>101.25</v>
      </c>
      <c r="P136" s="1">
        <v>45600.340277777781</v>
      </c>
    </row>
    <row r="137" spans="1:16" x14ac:dyDescent="0.3">
      <c r="A137" t="s">
        <v>933</v>
      </c>
      <c r="B137" t="s">
        <v>229</v>
      </c>
      <c r="C137">
        <v>425.91</v>
      </c>
      <c r="D137" s="1">
        <v>45009.69027777778</v>
      </c>
      <c r="E137" t="s">
        <v>18</v>
      </c>
      <c r="F137" t="s">
        <v>58</v>
      </c>
      <c r="G137" t="s">
        <v>855</v>
      </c>
      <c r="H137" t="s">
        <v>693</v>
      </c>
      <c r="I137" t="s">
        <v>703</v>
      </c>
      <c r="J137" t="s">
        <v>39</v>
      </c>
      <c r="K137">
        <v>23</v>
      </c>
      <c r="L137" t="s">
        <v>24</v>
      </c>
      <c r="M137">
        <v>47</v>
      </c>
      <c r="N137">
        <v>1</v>
      </c>
      <c r="O137">
        <v>383.58</v>
      </c>
      <c r="P137" s="1">
        <v>45600.338194444441</v>
      </c>
    </row>
    <row r="138" spans="1:16" x14ac:dyDescent="0.3">
      <c r="A138" t="s">
        <v>934</v>
      </c>
      <c r="B138" t="s">
        <v>752</v>
      </c>
      <c r="C138">
        <v>251.54</v>
      </c>
      <c r="D138" s="1">
        <v>45007.73333333333</v>
      </c>
      <c r="E138" t="s">
        <v>18</v>
      </c>
      <c r="F138" t="s">
        <v>123</v>
      </c>
      <c r="G138" t="s">
        <v>653</v>
      </c>
      <c r="H138" t="s">
        <v>821</v>
      </c>
      <c r="I138" t="s">
        <v>386</v>
      </c>
      <c r="J138" t="s">
        <v>23</v>
      </c>
      <c r="K138">
        <v>48</v>
      </c>
      <c r="L138" t="s">
        <v>47</v>
      </c>
      <c r="M138">
        <v>177</v>
      </c>
      <c r="N138">
        <v>1</v>
      </c>
      <c r="O138">
        <v>254.75</v>
      </c>
      <c r="P138" s="1">
        <v>45600.34097222222</v>
      </c>
    </row>
    <row r="139" spans="1:16" x14ac:dyDescent="0.3">
      <c r="A139" t="s">
        <v>935</v>
      </c>
      <c r="B139" t="s">
        <v>729</v>
      </c>
      <c r="C139">
        <v>243.08</v>
      </c>
      <c r="D139" s="1">
        <v>44971.681250000001</v>
      </c>
      <c r="E139" t="s">
        <v>27</v>
      </c>
      <c r="F139" t="s">
        <v>58</v>
      </c>
      <c r="G139" t="s">
        <v>416</v>
      </c>
      <c r="H139" t="s">
        <v>768</v>
      </c>
      <c r="I139" t="s">
        <v>672</v>
      </c>
      <c r="J139" t="s">
        <v>31</v>
      </c>
      <c r="K139">
        <v>24</v>
      </c>
      <c r="L139" t="s">
        <v>24</v>
      </c>
      <c r="M139">
        <v>93</v>
      </c>
      <c r="N139">
        <v>1</v>
      </c>
      <c r="O139">
        <v>131.25</v>
      </c>
      <c r="P139" s="1">
        <v>45600.338194444441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0A9E-F900-45ED-9FB1-4E14A39C0B7E}">
  <dimension ref="A1:B5"/>
  <sheetViews>
    <sheetView workbookViewId="0">
      <selection sqref="A1:B5"/>
    </sheetView>
  </sheetViews>
  <sheetFormatPr defaultRowHeight="14.4" x14ac:dyDescent="0.3"/>
  <cols>
    <col min="1" max="1" width="21.21875" bestFit="1" customWidth="1"/>
    <col min="2" max="2" width="8.109375" bestFit="1" customWidth="1"/>
  </cols>
  <sheetData>
    <row r="1" spans="1:2" x14ac:dyDescent="0.3">
      <c r="A1" t="s">
        <v>11</v>
      </c>
      <c r="B1" t="s">
        <v>376</v>
      </c>
    </row>
    <row r="2" spans="1:2" x14ac:dyDescent="0.3">
      <c r="A2" t="s">
        <v>47</v>
      </c>
      <c r="B2">
        <v>631</v>
      </c>
    </row>
    <row r="3" spans="1:2" x14ac:dyDescent="0.3">
      <c r="A3" t="s">
        <v>24</v>
      </c>
      <c r="B3">
        <v>657</v>
      </c>
    </row>
    <row r="4" spans="1:2" x14ac:dyDescent="0.3">
      <c r="A4" t="s">
        <v>40</v>
      </c>
      <c r="B4">
        <v>599</v>
      </c>
    </row>
    <row r="5" spans="1:2" x14ac:dyDescent="0.3">
      <c r="A5" t="s">
        <v>32</v>
      </c>
      <c r="B5">
        <v>625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9C6D-DB78-4D7F-9E25-22A0F67A5F4D}">
  <dimension ref="A1:P65"/>
  <sheetViews>
    <sheetView topLeftCell="A22" workbookViewId="0">
      <selection activeCell="C33" sqref="C33"/>
    </sheetView>
  </sheetViews>
  <sheetFormatPr defaultRowHeight="14.4" x14ac:dyDescent="0.3"/>
  <cols>
    <col min="1" max="1" width="14.6640625" bestFit="1" customWidth="1"/>
    <col min="2" max="2" width="11.77734375" bestFit="1" customWidth="1"/>
    <col min="3" max="3" width="19.5546875" bestFit="1" customWidth="1"/>
    <col min="4" max="5" width="16.88671875" bestFit="1" customWidth="1"/>
    <col min="6" max="6" width="14.6640625" bestFit="1" customWidth="1"/>
    <col min="7" max="7" width="10.6640625" bestFit="1" customWidth="1"/>
    <col min="8" max="8" width="14.77734375" bestFit="1" customWidth="1"/>
    <col min="9" max="9" width="12.77734375" bestFit="1" customWidth="1"/>
    <col min="10" max="10" width="10" bestFit="1" customWidth="1"/>
    <col min="11" max="11" width="14.33203125" bestFit="1" customWidth="1"/>
    <col min="12" max="12" width="21.21875" bestFit="1" customWidth="1"/>
    <col min="13" max="13" width="20.21875" bestFit="1" customWidth="1"/>
    <col min="14" max="14" width="15.44140625" bestFit="1" customWidth="1"/>
    <col min="15" max="15" width="16.77734375" bestFit="1" customWidth="1"/>
    <col min="16" max="16" width="24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382</v>
      </c>
      <c r="B2" t="s">
        <v>383</v>
      </c>
      <c r="C2">
        <v>246.93</v>
      </c>
      <c r="D2" s="1">
        <v>45033.692361111112</v>
      </c>
      <c r="E2" t="s">
        <v>18</v>
      </c>
      <c r="F2" t="s">
        <v>140</v>
      </c>
      <c r="G2" t="s">
        <v>384</v>
      </c>
      <c r="H2" t="s">
        <v>385</v>
      </c>
      <c r="I2" t="s">
        <v>386</v>
      </c>
      <c r="J2" t="s">
        <v>39</v>
      </c>
      <c r="K2">
        <v>23</v>
      </c>
      <c r="L2" t="s">
        <v>24</v>
      </c>
      <c r="M2">
        <v>158</v>
      </c>
      <c r="N2">
        <v>5</v>
      </c>
      <c r="O2">
        <v>673.35</v>
      </c>
      <c r="P2" s="1">
        <v>45600.34097222222</v>
      </c>
    </row>
    <row r="3" spans="1:16" x14ac:dyDescent="0.3">
      <c r="A3" t="s">
        <v>387</v>
      </c>
      <c r="B3" t="s">
        <v>388</v>
      </c>
      <c r="C3">
        <v>223.85</v>
      </c>
      <c r="D3" s="1">
        <v>45201.691666666666</v>
      </c>
      <c r="E3" t="s">
        <v>18</v>
      </c>
      <c r="F3" t="s">
        <v>66</v>
      </c>
      <c r="G3" t="s">
        <v>389</v>
      </c>
      <c r="H3" t="s">
        <v>390</v>
      </c>
      <c r="I3" t="s">
        <v>137</v>
      </c>
      <c r="J3" t="s">
        <v>39</v>
      </c>
      <c r="K3">
        <v>53</v>
      </c>
      <c r="L3" t="s">
        <v>32</v>
      </c>
      <c r="M3">
        <v>55</v>
      </c>
      <c r="N3">
        <v>4</v>
      </c>
      <c r="O3">
        <v>2929.91</v>
      </c>
      <c r="P3" s="1">
        <v>45600.338888888888</v>
      </c>
    </row>
    <row r="4" spans="1:16" x14ac:dyDescent="0.3">
      <c r="A4" t="s">
        <v>391</v>
      </c>
      <c r="B4" t="s">
        <v>122</v>
      </c>
      <c r="C4">
        <v>514.95000000000005</v>
      </c>
      <c r="D4" s="1">
        <v>45029.775694444441</v>
      </c>
      <c r="E4" t="s">
        <v>18</v>
      </c>
      <c r="F4" t="s">
        <v>287</v>
      </c>
      <c r="G4" t="s">
        <v>392</v>
      </c>
      <c r="H4" t="s">
        <v>393</v>
      </c>
      <c r="I4" t="s">
        <v>394</v>
      </c>
      <c r="J4" t="s">
        <v>31</v>
      </c>
      <c r="K4">
        <v>41</v>
      </c>
      <c r="L4" t="s">
        <v>47</v>
      </c>
      <c r="M4">
        <v>142</v>
      </c>
      <c r="N4">
        <v>5</v>
      </c>
      <c r="O4">
        <v>421.93</v>
      </c>
      <c r="P4" s="1">
        <v>45600.340277777781</v>
      </c>
    </row>
    <row r="5" spans="1:16" x14ac:dyDescent="0.3">
      <c r="A5" t="s">
        <v>395</v>
      </c>
      <c r="B5" t="s">
        <v>396</v>
      </c>
      <c r="C5">
        <v>66.900000000000006</v>
      </c>
      <c r="D5" s="1">
        <v>45033.701388888891</v>
      </c>
      <c r="E5" t="s">
        <v>27</v>
      </c>
      <c r="F5" t="s">
        <v>251</v>
      </c>
      <c r="G5" t="s">
        <v>397</v>
      </c>
      <c r="H5" t="s">
        <v>196</v>
      </c>
      <c r="I5" t="s">
        <v>398</v>
      </c>
      <c r="J5" t="s">
        <v>31</v>
      </c>
      <c r="K5">
        <v>79</v>
      </c>
      <c r="L5" t="s">
        <v>40</v>
      </c>
      <c r="M5">
        <v>129</v>
      </c>
      <c r="N5">
        <v>4</v>
      </c>
      <c r="O5">
        <v>5238.71</v>
      </c>
      <c r="P5" s="1">
        <v>45600.340277777781</v>
      </c>
    </row>
    <row r="6" spans="1:16" x14ac:dyDescent="0.3">
      <c r="A6" t="s">
        <v>64</v>
      </c>
      <c r="B6" t="s">
        <v>65</v>
      </c>
      <c r="C6">
        <v>1176.28</v>
      </c>
      <c r="D6" s="1">
        <v>45280.672222222223</v>
      </c>
      <c r="E6" t="s">
        <v>27</v>
      </c>
      <c r="F6" t="s">
        <v>66</v>
      </c>
      <c r="G6" t="s">
        <v>67</v>
      </c>
      <c r="H6" t="s">
        <v>68</v>
      </c>
      <c r="I6" t="s">
        <v>69</v>
      </c>
      <c r="J6" t="s">
        <v>39</v>
      </c>
      <c r="K6">
        <v>54</v>
      </c>
      <c r="L6" t="s">
        <v>32</v>
      </c>
      <c r="M6">
        <v>174</v>
      </c>
      <c r="N6">
        <v>5</v>
      </c>
      <c r="O6">
        <v>323.69</v>
      </c>
      <c r="P6" s="1">
        <v>45600.34097222222</v>
      </c>
    </row>
    <row r="7" spans="1:16" x14ac:dyDescent="0.3">
      <c r="A7" t="s">
        <v>399</v>
      </c>
      <c r="B7" t="s">
        <v>400</v>
      </c>
      <c r="C7">
        <v>6.3</v>
      </c>
      <c r="D7" s="1">
        <v>45274.786111111112</v>
      </c>
      <c r="E7" t="s">
        <v>18</v>
      </c>
      <c r="F7" t="s">
        <v>35</v>
      </c>
      <c r="G7" t="s">
        <v>401</v>
      </c>
      <c r="H7" t="s">
        <v>402</v>
      </c>
      <c r="I7" t="s">
        <v>403</v>
      </c>
      <c r="J7" t="s">
        <v>23</v>
      </c>
      <c r="K7">
        <v>80</v>
      </c>
      <c r="L7" t="s">
        <v>40</v>
      </c>
      <c r="M7">
        <v>283</v>
      </c>
      <c r="N7">
        <v>5</v>
      </c>
      <c r="O7">
        <v>7697.68</v>
      </c>
      <c r="P7" s="1">
        <v>45600.341666666667</v>
      </c>
    </row>
    <row r="8" spans="1:16" x14ac:dyDescent="0.3">
      <c r="A8" t="s">
        <v>404</v>
      </c>
      <c r="B8" t="s">
        <v>405</v>
      </c>
      <c r="C8">
        <v>194.85</v>
      </c>
      <c r="D8" s="1">
        <v>45181.701388888891</v>
      </c>
      <c r="E8" t="s">
        <v>18</v>
      </c>
      <c r="F8" t="s">
        <v>58</v>
      </c>
      <c r="G8" t="s">
        <v>406</v>
      </c>
      <c r="H8" t="s">
        <v>407</v>
      </c>
      <c r="I8" t="s">
        <v>255</v>
      </c>
      <c r="J8" t="s">
        <v>31</v>
      </c>
      <c r="K8">
        <v>23</v>
      </c>
      <c r="L8" t="s">
        <v>24</v>
      </c>
      <c r="M8">
        <v>130</v>
      </c>
      <c r="N8">
        <v>4</v>
      </c>
      <c r="O8">
        <v>319.83999999999997</v>
      </c>
      <c r="P8" s="1">
        <v>45600.338888888888</v>
      </c>
    </row>
    <row r="9" spans="1:16" x14ac:dyDescent="0.3">
      <c r="A9" t="s">
        <v>408</v>
      </c>
      <c r="B9" t="s">
        <v>409</v>
      </c>
      <c r="C9">
        <v>83.5</v>
      </c>
      <c r="D9" s="1">
        <v>45061.782638888886</v>
      </c>
      <c r="E9" t="s">
        <v>18</v>
      </c>
      <c r="F9" t="s">
        <v>410</v>
      </c>
      <c r="G9" t="s">
        <v>411</v>
      </c>
      <c r="H9" t="s">
        <v>412</v>
      </c>
      <c r="I9" t="s">
        <v>413</v>
      </c>
      <c r="J9" t="s">
        <v>23</v>
      </c>
      <c r="K9">
        <v>61</v>
      </c>
      <c r="L9" t="s">
        <v>40</v>
      </c>
      <c r="M9">
        <v>91</v>
      </c>
      <c r="N9">
        <v>5</v>
      </c>
      <c r="O9">
        <v>1749.79</v>
      </c>
      <c r="P9" s="1">
        <v>45600.338194444441</v>
      </c>
    </row>
    <row r="10" spans="1:16" x14ac:dyDescent="0.3">
      <c r="A10" t="s">
        <v>414</v>
      </c>
      <c r="B10" t="s">
        <v>415</v>
      </c>
      <c r="C10">
        <v>611.11</v>
      </c>
      <c r="D10" s="1">
        <v>45217.772222222222</v>
      </c>
      <c r="E10" t="s">
        <v>18</v>
      </c>
      <c r="F10" t="s">
        <v>50</v>
      </c>
      <c r="G10" t="s">
        <v>416</v>
      </c>
      <c r="H10" t="s">
        <v>417</v>
      </c>
      <c r="I10" t="s">
        <v>418</v>
      </c>
      <c r="J10" t="s">
        <v>39</v>
      </c>
      <c r="K10">
        <v>20</v>
      </c>
      <c r="L10" t="s">
        <v>24</v>
      </c>
      <c r="M10">
        <v>282</v>
      </c>
      <c r="N10">
        <v>4</v>
      </c>
      <c r="O10">
        <v>919.84</v>
      </c>
      <c r="P10" s="1">
        <v>45600.34097222222</v>
      </c>
    </row>
    <row r="11" spans="1:16" x14ac:dyDescent="0.3">
      <c r="A11" t="s">
        <v>419</v>
      </c>
      <c r="B11" t="s">
        <v>420</v>
      </c>
      <c r="C11">
        <v>302.16000000000003</v>
      </c>
      <c r="D11" s="1">
        <v>45217.740972222222</v>
      </c>
      <c r="E11" t="s">
        <v>18</v>
      </c>
      <c r="F11" t="s">
        <v>66</v>
      </c>
      <c r="G11" t="s">
        <v>421</v>
      </c>
      <c r="H11" t="s">
        <v>422</v>
      </c>
      <c r="I11" t="s">
        <v>423</v>
      </c>
      <c r="J11" t="s">
        <v>31</v>
      </c>
      <c r="K11">
        <v>80</v>
      </c>
      <c r="L11" t="s">
        <v>40</v>
      </c>
      <c r="M11">
        <v>138</v>
      </c>
      <c r="N11">
        <v>5</v>
      </c>
      <c r="O11">
        <v>3876.61</v>
      </c>
      <c r="P11" s="1">
        <v>45600.338194444441</v>
      </c>
    </row>
    <row r="12" spans="1:16" x14ac:dyDescent="0.3">
      <c r="A12" t="s">
        <v>424</v>
      </c>
      <c r="B12" t="s">
        <v>425</v>
      </c>
      <c r="C12">
        <v>505.19</v>
      </c>
      <c r="D12" s="1">
        <v>44999.684027777781</v>
      </c>
      <c r="E12" t="s">
        <v>18</v>
      </c>
      <c r="F12" t="s">
        <v>66</v>
      </c>
      <c r="G12" t="s">
        <v>426</v>
      </c>
      <c r="H12" t="s">
        <v>427</v>
      </c>
      <c r="I12" t="s">
        <v>428</v>
      </c>
      <c r="J12" t="s">
        <v>39</v>
      </c>
      <c r="K12">
        <v>30</v>
      </c>
      <c r="L12" t="s">
        <v>47</v>
      </c>
      <c r="M12">
        <v>128</v>
      </c>
      <c r="N12">
        <v>5</v>
      </c>
      <c r="O12">
        <v>5326.68</v>
      </c>
      <c r="P12" s="1">
        <v>45600.340277777781</v>
      </c>
    </row>
    <row r="13" spans="1:16" x14ac:dyDescent="0.3">
      <c r="A13" t="s">
        <v>429</v>
      </c>
      <c r="B13" t="s">
        <v>430</v>
      </c>
      <c r="C13">
        <v>127</v>
      </c>
      <c r="D13" s="1">
        <v>45184.714583333334</v>
      </c>
      <c r="E13" t="s">
        <v>27</v>
      </c>
      <c r="F13" t="s">
        <v>110</v>
      </c>
      <c r="G13" t="s">
        <v>431</v>
      </c>
      <c r="H13" t="s">
        <v>432</v>
      </c>
      <c r="I13" t="s">
        <v>111</v>
      </c>
      <c r="J13" t="s">
        <v>23</v>
      </c>
      <c r="K13">
        <v>19</v>
      </c>
      <c r="L13" t="s">
        <v>24</v>
      </c>
      <c r="M13">
        <v>68</v>
      </c>
      <c r="N13">
        <v>5</v>
      </c>
      <c r="O13">
        <v>431.16</v>
      </c>
      <c r="P13" s="1">
        <v>45600.340277777781</v>
      </c>
    </row>
    <row r="14" spans="1:16" x14ac:dyDescent="0.3">
      <c r="A14" t="s">
        <v>433</v>
      </c>
      <c r="B14" t="s">
        <v>190</v>
      </c>
      <c r="C14">
        <v>97.09</v>
      </c>
      <c r="D14" s="1">
        <v>45026.768055555556</v>
      </c>
      <c r="E14" t="s">
        <v>18</v>
      </c>
      <c r="F14" t="s">
        <v>131</v>
      </c>
      <c r="G14" t="s">
        <v>434</v>
      </c>
      <c r="H14" t="s">
        <v>435</v>
      </c>
      <c r="I14" t="s">
        <v>51</v>
      </c>
      <c r="J14" t="s">
        <v>39</v>
      </c>
      <c r="K14">
        <v>24</v>
      </c>
      <c r="L14" t="s">
        <v>24</v>
      </c>
      <c r="M14">
        <v>202</v>
      </c>
      <c r="N14">
        <v>4</v>
      </c>
      <c r="O14">
        <v>1579.57</v>
      </c>
      <c r="P14" s="1">
        <v>45600.337500000001</v>
      </c>
    </row>
    <row r="15" spans="1:16" x14ac:dyDescent="0.3">
      <c r="A15" t="s">
        <v>436</v>
      </c>
      <c r="B15" t="s">
        <v>437</v>
      </c>
      <c r="C15">
        <v>106.16</v>
      </c>
      <c r="D15" s="1">
        <v>45030.722916666666</v>
      </c>
      <c r="E15" t="s">
        <v>18</v>
      </c>
      <c r="F15" t="s">
        <v>170</v>
      </c>
      <c r="G15" t="s">
        <v>124</v>
      </c>
      <c r="H15" t="s">
        <v>182</v>
      </c>
      <c r="I15" t="s">
        <v>438</v>
      </c>
      <c r="J15" t="s">
        <v>39</v>
      </c>
      <c r="K15">
        <v>56</v>
      </c>
      <c r="L15" t="s">
        <v>47</v>
      </c>
      <c r="M15">
        <v>277</v>
      </c>
      <c r="N15">
        <v>4</v>
      </c>
      <c r="O15">
        <v>7487.79</v>
      </c>
      <c r="P15" s="1">
        <v>45600.338888888888</v>
      </c>
    </row>
    <row r="16" spans="1:16" x14ac:dyDescent="0.3">
      <c r="A16" t="s">
        <v>439</v>
      </c>
      <c r="B16" t="s">
        <v>329</v>
      </c>
      <c r="C16">
        <v>178.88</v>
      </c>
      <c r="D16" s="1">
        <v>45096.729861111111</v>
      </c>
      <c r="E16" t="s">
        <v>27</v>
      </c>
      <c r="F16" t="s">
        <v>410</v>
      </c>
      <c r="G16" t="s">
        <v>440</v>
      </c>
      <c r="H16" t="s">
        <v>441</v>
      </c>
      <c r="I16" t="s">
        <v>266</v>
      </c>
      <c r="J16" t="s">
        <v>23</v>
      </c>
      <c r="K16">
        <v>76</v>
      </c>
      <c r="L16" t="s">
        <v>40</v>
      </c>
      <c r="M16">
        <v>93</v>
      </c>
      <c r="N16">
        <v>4</v>
      </c>
      <c r="O16">
        <v>4708.29</v>
      </c>
      <c r="P16" s="1">
        <v>45600.341666666667</v>
      </c>
    </row>
    <row r="17" spans="1:16" x14ac:dyDescent="0.3">
      <c r="A17" t="s">
        <v>442</v>
      </c>
      <c r="B17" t="s">
        <v>443</v>
      </c>
      <c r="C17">
        <v>312.47000000000003</v>
      </c>
      <c r="D17" s="1">
        <v>45048.724999999999</v>
      </c>
      <c r="E17" t="s">
        <v>18</v>
      </c>
      <c r="F17" t="s">
        <v>444</v>
      </c>
      <c r="G17" t="s">
        <v>445</v>
      </c>
      <c r="H17" t="s">
        <v>148</v>
      </c>
      <c r="I17" t="s">
        <v>149</v>
      </c>
      <c r="J17" t="s">
        <v>39</v>
      </c>
      <c r="K17">
        <v>49</v>
      </c>
      <c r="L17" t="s">
        <v>32</v>
      </c>
      <c r="M17">
        <v>148</v>
      </c>
      <c r="N17">
        <v>4</v>
      </c>
      <c r="O17">
        <v>9419.27</v>
      </c>
      <c r="P17" s="1">
        <v>45600.338888888888</v>
      </c>
    </row>
    <row r="18" spans="1:16" x14ac:dyDescent="0.3">
      <c r="A18" t="s">
        <v>446</v>
      </c>
      <c r="B18" t="s">
        <v>447</v>
      </c>
      <c r="C18">
        <v>32.54</v>
      </c>
      <c r="D18" s="1">
        <v>45111.684027777781</v>
      </c>
      <c r="E18" t="s">
        <v>18</v>
      </c>
      <c r="F18" t="s">
        <v>105</v>
      </c>
      <c r="G18" t="s">
        <v>259</v>
      </c>
      <c r="H18" t="s">
        <v>448</v>
      </c>
      <c r="I18" t="s">
        <v>449</v>
      </c>
      <c r="J18" t="s">
        <v>31</v>
      </c>
      <c r="K18">
        <v>25</v>
      </c>
      <c r="L18" t="s">
        <v>24</v>
      </c>
      <c r="M18">
        <v>183</v>
      </c>
      <c r="N18">
        <v>4</v>
      </c>
      <c r="O18">
        <v>1544.88</v>
      </c>
      <c r="P18" s="1">
        <v>45600.338194444441</v>
      </c>
    </row>
    <row r="19" spans="1:16" x14ac:dyDescent="0.3">
      <c r="A19" t="s">
        <v>450</v>
      </c>
      <c r="B19" t="s">
        <v>451</v>
      </c>
      <c r="C19">
        <v>152.18</v>
      </c>
      <c r="D19" s="1">
        <v>45145.706250000003</v>
      </c>
      <c r="E19" t="s">
        <v>27</v>
      </c>
      <c r="F19" t="s">
        <v>181</v>
      </c>
      <c r="G19" t="s">
        <v>452</v>
      </c>
      <c r="H19" t="s">
        <v>453</v>
      </c>
      <c r="I19" t="s">
        <v>215</v>
      </c>
      <c r="J19" t="s">
        <v>31</v>
      </c>
      <c r="K19">
        <v>39</v>
      </c>
      <c r="L19" t="s">
        <v>32</v>
      </c>
      <c r="M19">
        <v>176</v>
      </c>
      <c r="N19">
        <v>4</v>
      </c>
      <c r="O19">
        <v>2459.84</v>
      </c>
      <c r="P19" s="1">
        <v>45600.340277777781</v>
      </c>
    </row>
    <row r="20" spans="1:16" x14ac:dyDescent="0.3">
      <c r="A20" t="s">
        <v>454</v>
      </c>
      <c r="B20" t="s">
        <v>455</v>
      </c>
      <c r="C20">
        <v>126.22</v>
      </c>
      <c r="D20" s="1">
        <v>45050.684027777781</v>
      </c>
      <c r="E20" t="s">
        <v>18</v>
      </c>
      <c r="F20" t="s">
        <v>248</v>
      </c>
      <c r="G20" t="s">
        <v>456</v>
      </c>
      <c r="H20" t="s">
        <v>457</v>
      </c>
      <c r="I20" t="s">
        <v>197</v>
      </c>
      <c r="J20" t="s">
        <v>39</v>
      </c>
      <c r="K20">
        <v>46</v>
      </c>
      <c r="L20" t="s">
        <v>32</v>
      </c>
      <c r="M20">
        <v>77</v>
      </c>
      <c r="N20">
        <v>4</v>
      </c>
      <c r="O20">
        <v>6133.41</v>
      </c>
      <c r="P20" s="1">
        <v>45600.338194444441</v>
      </c>
    </row>
    <row r="21" spans="1:16" x14ac:dyDescent="0.3">
      <c r="A21" t="s">
        <v>458</v>
      </c>
      <c r="B21" t="s">
        <v>217</v>
      </c>
      <c r="C21">
        <v>119.3</v>
      </c>
      <c r="D21" s="1">
        <v>45166.672222222223</v>
      </c>
      <c r="E21" t="s">
        <v>18</v>
      </c>
      <c r="F21" t="s">
        <v>459</v>
      </c>
      <c r="G21" t="s">
        <v>460</v>
      </c>
      <c r="H21" t="s">
        <v>461</v>
      </c>
      <c r="I21" t="s">
        <v>359</v>
      </c>
      <c r="J21" t="s">
        <v>23</v>
      </c>
      <c r="K21">
        <v>34</v>
      </c>
      <c r="L21" t="s">
        <v>32</v>
      </c>
      <c r="M21">
        <v>22</v>
      </c>
      <c r="N21">
        <v>5</v>
      </c>
      <c r="O21">
        <v>319.04000000000002</v>
      </c>
      <c r="P21" s="1">
        <v>45600.338888888888</v>
      </c>
    </row>
    <row r="22" spans="1:16" x14ac:dyDescent="0.3">
      <c r="A22" t="s">
        <v>462</v>
      </c>
      <c r="B22" t="s">
        <v>329</v>
      </c>
      <c r="C22">
        <v>25.94</v>
      </c>
      <c r="D22" s="1">
        <v>45215.786805555559</v>
      </c>
      <c r="E22" t="s">
        <v>27</v>
      </c>
      <c r="F22" t="s">
        <v>191</v>
      </c>
      <c r="G22" t="s">
        <v>463</v>
      </c>
      <c r="H22" t="s">
        <v>464</v>
      </c>
      <c r="I22" t="s">
        <v>465</v>
      </c>
      <c r="J22" t="s">
        <v>31</v>
      </c>
      <c r="K22">
        <v>58</v>
      </c>
      <c r="L22" t="s">
        <v>40</v>
      </c>
      <c r="M22">
        <v>211</v>
      </c>
      <c r="N22">
        <v>5</v>
      </c>
      <c r="O22">
        <v>4815.1099999999997</v>
      </c>
      <c r="P22" s="1">
        <v>45600.337500000001</v>
      </c>
    </row>
    <row r="23" spans="1:16" x14ac:dyDescent="0.3">
      <c r="A23" t="s">
        <v>466</v>
      </c>
      <c r="B23" t="s">
        <v>467</v>
      </c>
      <c r="C23">
        <v>733.29</v>
      </c>
      <c r="D23" s="1">
        <v>45000.779166666667</v>
      </c>
      <c r="E23" t="s">
        <v>18</v>
      </c>
      <c r="F23" t="s">
        <v>367</v>
      </c>
      <c r="G23" t="s">
        <v>468</v>
      </c>
      <c r="H23" t="s">
        <v>469</v>
      </c>
      <c r="I23" t="s">
        <v>60</v>
      </c>
      <c r="J23" t="s">
        <v>39</v>
      </c>
      <c r="K23">
        <v>52</v>
      </c>
      <c r="L23" t="s">
        <v>47</v>
      </c>
      <c r="M23">
        <v>94</v>
      </c>
      <c r="N23">
        <v>5</v>
      </c>
      <c r="O23">
        <v>10427</v>
      </c>
      <c r="P23" s="1">
        <v>45600.338194444441</v>
      </c>
    </row>
    <row r="24" spans="1:16" x14ac:dyDescent="0.3">
      <c r="A24" t="s">
        <v>470</v>
      </c>
      <c r="B24" t="s">
        <v>353</v>
      </c>
      <c r="C24">
        <v>827.14</v>
      </c>
      <c r="D24" s="1">
        <v>44943.725694444445</v>
      </c>
      <c r="E24" t="s">
        <v>18</v>
      </c>
      <c r="F24" t="s">
        <v>54</v>
      </c>
      <c r="G24" t="s">
        <v>356</v>
      </c>
      <c r="H24" t="s">
        <v>471</v>
      </c>
      <c r="I24" t="s">
        <v>472</v>
      </c>
      <c r="J24" t="s">
        <v>23</v>
      </c>
      <c r="K24">
        <v>36</v>
      </c>
      <c r="L24" t="s">
        <v>32</v>
      </c>
      <c r="M24">
        <v>265</v>
      </c>
      <c r="N24">
        <v>4</v>
      </c>
      <c r="O24">
        <v>9800.2099999999991</v>
      </c>
      <c r="P24" s="1">
        <v>45600.338888888888</v>
      </c>
    </row>
    <row r="25" spans="1:16" x14ac:dyDescent="0.3">
      <c r="A25" t="s">
        <v>473</v>
      </c>
      <c r="B25" t="s">
        <v>474</v>
      </c>
      <c r="C25">
        <v>253.55</v>
      </c>
      <c r="D25" s="1">
        <v>44937.705555555556</v>
      </c>
      <c r="E25" t="s">
        <v>18</v>
      </c>
      <c r="F25" t="s">
        <v>58</v>
      </c>
      <c r="G25" t="s">
        <v>475</v>
      </c>
      <c r="H25" t="s">
        <v>362</v>
      </c>
      <c r="I25" t="s">
        <v>476</v>
      </c>
      <c r="J25" t="s">
        <v>39</v>
      </c>
      <c r="K25">
        <v>28</v>
      </c>
      <c r="L25" t="s">
        <v>32</v>
      </c>
      <c r="M25">
        <v>85</v>
      </c>
      <c r="N25">
        <v>5</v>
      </c>
      <c r="O25">
        <v>2797.26</v>
      </c>
      <c r="P25" s="1">
        <v>45600.339583333334</v>
      </c>
    </row>
    <row r="26" spans="1:16" x14ac:dyDescent="0.3">
      <c r="A26" t="s">
        <v>477</v>
      </c>
      <c r="B26" t="s">
        <v>91</v>
      </c>
      <c r="C26">
        <v>668.67</v>
      </c>
      <c r="D26" s="1">
        <v>45237.734722222223</v>
      </c>
      <c r="E26" t="s">
        <v>18</v>
      </c>
      <c r="F26" t="s">
        <v>50</v>
      </c>
      <c r="G26" t="s">
        <v>478</v>
      </c>
      <c r="H26" t="s">
        <v>479</v>
      </c>
      <c r="I26" t="s">
        <v>480</v>
      </c>
      <c r="J26" t="s">
        <v>31</v>
      </c>
      <c r="K26">
        <v>44</v>
      </c>
      <c r="L26" t="s">
        <v>47</v>
      </c>
      <c r="M26">
        <v>143</v>
      </c>
      <c r="N26">
        <v>4</v>
      </c>
      <c r="O26">
        <v>13446.81</v>
      </c>
      <c r="P26" s="1">
        <v>45600.337500000001</v>
      </c>
    </row>
    <row r="27" spans="1:16" x14ac:dyDescent="0.3">
      <c r="A27" t="s">
        <v>481</v>
      </c>
      <c r="B27" t="s">
        <v>482</v>
      </c>
      <c r="C27">
        <v>39.21</v>
      </c>
      <c r="D27" s="1">
        <v>45056.677083333336</v>
      </c>
      <c r="E27" t="s">
        <v>18</v>
      </c>
      <c r="F27" t="s">
        <v>140</v>
      </c>
      <c r="G27" t="s">
        <v>483</v>
      </c>
      <c r="H27" t="s">
        <v>210</v>
      </c>
      <c r="I27" t="s">
        <v>215</v>
      </c>
      <c r="J27" t="s">
        <v>39</v>
      </c>
      <c r="K27">
        <v>66</v>
      </c>
      <c r="L27" t="s">
        <v>47</v>
      </c>
      <c r="M27">
        <v>245</v>
      </c>
      <c r="N27">
        <v>4</v>
      </c>
      <c r="O27">
        <v>9385.57</v>
      </c>
      <c r="P27" s="1">
        <v>45600.34097222222</v>
      </c>
    </row>
    <row r="28" spans="1:16" x14ac:dyDescent="0.3">
      <c r="A28" t="s">
        <v>484</v>
      </c>
      <c r="B28" t="s">
        <v>485</v>
      </c>
      <c r="C28">
        <v>23.4</v>
      </c>
      <c r="D28" s="1">
        <v>44965.768750000003</v>
      </c>
      <c r="E28" t="s">
        <v>18</v>
      </c>
      <c r="F28" t="s">
        <v>54</v>
      </c>
      <c r="G28" t="s">
        <v>486</v>
      </c>
      <c r="H28" t="s">
        <v>276</v>
      </c>
      <c r="I28" t="s">
        <v>487</v>
      </c>
      <c r="J28" t="s">
        <v>39</v>
      </c>
      <c r="K28">
        <v>46</v>
      </c>
      <c r="L28" t="s">
        <v>47</v>
      </c>
      <c r="M28">
        <v>175</v>
      </c>
      <c r="N28">
        <v>4</v>
      </c>
      <c r="O28">
        <v>14851.28</v>
      </c>
      <c r="P28" s="1">
        <v>45600.338194444441</v>
      </c>
    </row>
    <row r="29" spans="1:16" x14ac:dyDescent="0.3">
      <c r="A29" t="s">
        <v>184</v>
      </c>
      <c r="B29" t="s">
        <v>185</v>
      </c>
      <c r="C29">
        <v>1531.31</v>
      </c>
      <c r="D29" s="1">
        <v>45222.75</v>
      </c>
      <c r="E29" t="s">
        <v>18</v>
      </c>
      <c r="F29" t="s">
        <v>114</v>
      </c>
      <c r="G29" t="s">
        <v>186</v>
      </c>
      <c r="H29" t="s">
        <v>187</v>
      </c>
      <c r="I29" t="s">
        <v>188</v>
      </c>
      <c r="J29" t="s">
        <v>31</v>
      </c>
      <c r="K29">
        <v>18</v>
      </c>
      <c r="L29" t="s">
        <v>24</v>
      </c>
      <c r="M29">
        <v>62</v>
      </c>
      <c r="N29">
        <v>4</v>
      </c>
      <c r="O29">
        <v>859.86</v>
      </c>
      <c r="P29" s="1">
        <v>45600.337500000001</v>
      </c>
    </row>
    <row r="30" spans="1:16" x14ac:dyDescent="0.3">
      <c r="A30" t="s">
        <v>488</v>
      </c>
      <c r="B30" t="s">
        <v>489</v>
      </c>
      <c r="C30">
        <v>120.86</v>
      </c>
      <c r="D30" s="1">
        <v>45246.747916666667</v>
      </c>
      <c r="E30" t="s">
        <v>18</v>
      </c>
      <c r="F30" t="s">
        <v>96</v>
      </c>
      <c r="G30" t="s">
        <v>490</v>
      </c>
      <c r="H30" t="s">
        <v>491</v>
      </c>
      <c r="I30" t="s">
        <v>197</v>
      </c>
      <c r="J30" t="s">
        <v>31</v>
      </c>
      <c r="K30">
        <v>33</v>
      </c>
      <c r="L30" t="s">
        <v>47</v>
      </c>
      <c r="M30">
        <v>162</v>
      </c>
      <c r="N30">
        <v>4</v>
      </c>
      <c r="O30">
        <v>13566.58</v>
      </c>
      <c r="P30" s="1">
        <v>45600.34097222222</v>
      </c>
    </row>
    <row r="31" spans="1:16" x14ac:dyDescent="0.3">
      <c r="A31" t="s">
        <v>492</v>
      </c>
      <c r="B31" t="s">
        <v>493</v>
      </c>
      <c r="C31">
        <v>337.73</v>
      </c>
      <c r="D31" s="1">
        <v>45069.716666666667</v>
      </c>
      <c r="E31" t="s">
        <v>18</v>
      </c>
      <c r="F31" t="s">
        <v>43</v>
      </c>
      <c r="G31" t="s">
        <v>494</v>
      </c>
      <c r="H31" t="s">
        <v>495</v>
      </c>
      <c r="I31" t="s">
        <v>496</v>
      </c>
      <c r="J31" t="s">
        <v>31</v>
      </c>
      <c r="K31">
        <v>78</v>
      </c>
      <c r="L31" t="s">
        <v>40</v>
      </c>
      <c r="M31">
        <v>107</v>
      </c>
      <c r="N31">
        <v>4</v>
      </c>
      <c r="O31">
        <v>7001.2</v>
      </c>
      <c r="P31" s="1">
        <v>45600.338194444441</v>
      </c>
    </row>
    <row r="32" spans="1:16" x14ac:dyDescent="0.3">
      <c r="A32" t="s">
        <v>497</v>
      </c>
      <c r="B32" t="s">
        <v>498</v>
      </c>
      <c r="C32">
        <v>76.510000000000005</v>
      </c>
      <c r="D32" s="1">
        <v>45019.667361111111</v>
      </c>
      <c r="E32" t="s">
        <v>27</v>
      </c>
      <c r="F32" t="s">
        <v>459</v>
      </c>
      <c r="G32" t="s">
        <v>499</v>
      </c>
      <c r="H32" t="s">
        <v>500</v>
      </c>
      <c r="I32" t="s">
        <v>277</v>
      </c>
      <c r="J32" t="s">
        <v>31</v>
      </c>
      <c r="K32">
        <v>49</v>
      </c>
      <c r="L32" t="s">
        <v>32</v>
      </c>
      <c r="M32">
        <v>120</v>
      </c>
      <c r="N32">
        <v>4</v>
      </c>
      <c r="O32">
        <v>9475.4</v>
      </c>
      <c r="P32" s="1">
        <v>45600.338194444441</v>
      </c>
    </row>
    <row r="33" spans="1:16" x14ac:dyDescent="0.3">
      <c r="A33" t="s">
        <v>501</v>
      </c>
      <c r="B33" t="s">
        <v>502</v>
      </c>
      <c r="C33">
        <v>119.95</v>
      </c>
      <c r="D33" s="1">
        <v>45026.745138888888</v>
      </c>
      <c r="E33" t="s">
        <v>27</v>
      </c>
      <c r="F33" t="s">
        <v>284</v>
      </c>
      <c r="G33" t="s">
        <v>321</v>
      </c>
      <c r="H33" t="s">
        <v>503</v>
      </c>
      <c r="I33" t="s">
        <v>293</v>
      </c>
      <c r="J33" t="s">
        <v>23</v>
      </c>
      <c r="K33">
        <v>62</v>
      </c>
      <c r="L33" t="s">
        <v>40</v>
      </c>
      <c r="M33">
        <v>47</v>
      </c>
      <c r="N33">
        <v>5</v>
      </c>
      <c r="O33">
        <v>2596.61</v>
      </c>
      <c r="P33" s="1">
        <v>45600.340277777781</v>
      </c>
    </row>
    <row r="34" spans="1:16" x14ac:dyDescent="0.3">
      <c r="A34" t="s">
        <v>504</v>
      </c>
      <c r="B34" t="s">
        <v>505</v>
      </c>
      <c r="C34">
        <v>353.59</v>
      </c>
      <c r="D34" s="1">
        <v>45149.747916666667</v>
      </c>
      <c r="E34" t="s">
        <v>27</v>
      </c>
      <c r="F34" t="s">
        <v>287</v>
      </c>
      <c r="G34" t="s">
        <v>506</v>
      </c>
      <c r="H34" t="s">
        <v>507</v>
      </c>
      <c r="I34" t="s">
        <v>183</v>
      </c>
      <c r="J34" t="s">
        <v>23</v>
      </c>
      <c r="K34">
        <v>52</v>
      </c>
      <c r="L34" t="s">
        <v>40</v>
      </c>
      <c r="M34">
        <v>109</v>
      </c>
      <c r="N34">
        <v>5</v>
      </c>
      <c r="O34">
        <v>1822.34</v>
      </c>
      <c r="P34" s="1">
        <v>45600.340277777781</v>
      </c>
    </row>
    <row r="35" spans="1:16" x14ac:dyDescent="0.3">
      <c r="A35" t="s">
        <v>508</v>
      </c>
      <c r="B35" t="s">
        <v>509</v>
      </c>
      <c r="C35">
        <v>180.65</v>
      </c>
      <c r="D35" s="1">
        <v>45264.745833333334</v>
      </c>
      <c r="E35" t="s">
        <v>18</v>
      </c>
      <c r="F35" t="s">
        <v>251</v>
      </c>
      <c r="G35" t="s">
        <v>510</v>
      </c>
      <c r="H35" t="s">
        <v>511</v>
      </c>
      <c r="I35" t="s">
        <v>30</v>
      </c>
      <c r="J35" t="s">
        <v>23</v>
      </c>
      <c r="K35">
        <v>22</v>
      </c>
      <c r="L35" t="s">
        <v>24</v>
      </c>
      <c r="M35">
        <v>38</v>
      </c>
      <c r="N35">
        <v>5</v>
      </c>
      <c r="O35">
        <v>816.01</v>
      </c>
      <c r="P35" s="1">
        <v>45600.339583333334</v>
      </c>
    </row>
    <row r="36" spans="1:16" x14ac:dyDescent="0.3">
      <c r="A36" t="s">
        <v>512</v>
      </c>
      <c r="B36" t="s">
        <v>513</v>
      </c>
      <c r="C36">
        <v>83.07</v>
      </c>
      <c r="D36" s="1">
        <v>44932.675694444442</v>
      </c>
      <c r="E36" t="s">
        <v>18</v>
      </c>
      <c r="F36" t="s">
        <v>140</v>
      </c>
      <c r="G36" t="s">
        <v>514</v>
      </c>
      <c r="H36" t="s">
        <v>196</v>
      </c>
      <c r="I36" t="s">
        <v>266</v>
      </c>
      <c r="J36" t="s">
        <v>23</v>
      </c>
      <c r="K36">
        <v>27</v>
      </c>
      <c r="L36" t="s">
        <v>32</v>
      </c>
      <c r="M36">
        <v>291</v>
      </c>
      <c r="N36">
        <v>4</v>
      </c>
      <c r="O36">
        <v>6704.76</v>
      </c>
      <c r="P36" s="1">
        <v>45600.340277777781</v>
      </c>
    </row>
    <row r="37" spans="1:16" x14ac:dyDescent="0.3">
      <c r="A37" t="s">
        <v>515</v>
      </c>
      <c r="B37" t="s">
        <v>516</v>
      </c>
      <c r="C37">
        <v>303.97000000000003</v>
      </c>
      <c r="D37" s="1">
        <v>44959.704861111109</v>
      </c>
      <c r="E37" t="s">
        <v>18</v>
      </c>
      <c r="F37" t="s">
        <v>131</v>
      </c>
      <c r="G37" t="s">
        <v>416</v>
      </c>
      <c r="H37" t="s">
        <v>517</v>
      </c>
      <c r="I37" t="s">
        <v>394</v>
      </c>
      <c r="J37" t="s">
        <v>31</v>
      </c>
      <c r="K37">
        <v>24</v>
      </c>
      <c r="L37" t="s">
        <v>24</v>
      </c>
      <c r="M37">
        <v>77</v>
      </c>
      <c r="N37">
        <v>5</v>
      </c>
      <c r="O37">
        <v>1590.88</v>
      </c>
      <c r="P37" s="1">
        <v>45600.338194444441</v>
      </c>
    </row>
    <row r="38" spans="1:16" x14ac:dyDescent="0.3">
      <c r="A38" t="s">
        <v>518</v>
      </c>
      <c r="B38" t="s">
        <v>164</v>
      </c>
      <c r="C38">
        <v>341.67</v>
      </c>
      <c r="D38" s="1">
        <v>44991.697916666664</v>
      </c>
      <c r="E38" t="s">
        <v>18</v>
      </c>
      <c r="F38" t="s">
        <v>72</v>
      </c>
      <c r="G38" t="s">
        <v>519</v>
      </c>
      <c r="H38" t="s">
        <v>520</v>
      </c>
      <c r="I38" t="s">
        <v>331</v>
      </c>
      <c r="J38" t="s">
        <v>23</v>
      </c>
      <c r="K38">
        <v>53</v>
      </c>
      <c r="L38" t="s">
        <v>40</v>
      </c>
      <c r="M38">
        <v>96</v>
      </c>
      <c r="N38">
        <v>5</v>
      </c>
      <c r="O38">
        <v>1442.29</v>
      </c>
      <c r="P38" s="1">
        <v>45600.339583333334</v>
      </c>
    </row>
    <row r="39" spans="1:16" x14ac:dyDescent="0.3">
      <c r="A39" t="s">
        <v>211</v>
      </c>
      <c r="B39" t="s">
        <v>212</v>
      </c>
      <c r="C39">
        <v>1192.2</v>
      </c>
      <c r="D39" s="1">
        <v>45281.681250000001</v>
      </c>
      <c r="E39" t="s">
        <v>27</v>
      </c>
      <c r="F39" t="s">
        <v>58</v>
      </c>
      <c r="G39" t="s">
        <v>213</v>
      </c>
      <c r="H39" t="s">
        <v>214</v>
      </c>
      <c r="I39" t="s">
        <v>215</v>
      </c>
      <c r="J39" t="s">
        <v>23</v>
      </c>
      <c r="K39">
        <v>60</v>
      </c>
      <c r="L39" t="s">
        <v>40</v>
      </c>
      <c r="M39">
        <v>103</v>
      </c>
      <c r="N39">
        <v>5</v>
      </c>
      <c r="O39">
        <v>7816.41</v>
      </c>
      <c r="P39" s="1">
        <v>45600.339583333334</v>
      </c>
    </row>
    <row r="40" spans="1:16" x14ac:dyDescent="0.3">
      <c r="A40" t="s">
        <v>521</v>
      </c>
      <c r="B40" t="s">
        <v>522</v>
      </c>
      <c r="C40">
        <v>142.19</v>
      </c>
      <c r="D40" s="1">
        <v>45092.769444444442</v>
      </c>
      <c r="E40" t="s">
        <v>18</v>
      </c>
      <c r="F40" t="s">
        <v>88</v>
      </c>
      <c r="G40" t="s">
        <v>523</v>
      </c>
      <c r="H40" t="s">
        <v>524</v>
      </c>
      <c r="I40" t="s">
        <v>99</v>
      </c>
      <c r="J40" t="s">
        <v>23</v>
      </c>
      <c r="K40">
        <v>18</v>
      </c>
      <c r="L40" t="s">
        <v>24</v>
      </c>
      <c r="M40">
        <v>27</v>
      </c>
      <c r="N40">
        <v>4</v>
      </c>
      <c r="O40">
        <v>524.46</v>
      </c>
      <c r="P40" s="1">
        <v>45600.339583333334</v>
      </c>
    </row>
    <row r="41" spans="1:16" x14ac:dyDescent="0.3">
      <c r="A41" t="s">
        <v>525</v>
      </c>
      <c r="B41" t="s">
        <v>526</v>
      </c>
      <c r="C41">
        <v>170.19</v>
      </c>
      <c r="D41" s="1">
        <v>45114.736111111109</v>
      </c>
      <c r="E41" t="s">
        <v>27</v>
      </c>
      <c r="F41" t="s">
        <v>181</v>
      </c>
      <c r="G41" t="s">
        <v>527</v>
      </c>
      <c r="H41" t="s">
        <v>528</v>
      </c>
      <c r="I41" t="s">
        <v>38</v>
      </c>
      <c r="J41" t="s">
        <v>23</v>
      </c>
      <c r="K41">
        <v>27</v>
      </c>
      <c r="L41" t="s">
        <v>24</v>
      </c>
      <c r="M41">
        <v>156</v>
      </c>
      <c r="N41">
        <v>5</v>
      </c>
      <c r="O41">
        <v>745.87</v>
      </c>
      <c r="P41" s="1">
        <v>45600.341666666667</v>
      </c>
    </row>
    <row r="42" spans="1:16" x14ac:dyDescent="0.3">
      <c r="A42" t="s">
        <v>529</v>
      </c>
      <c r="B42" t="s">
        <v>530</v>
      </c>
      <c r="C42">
        <v>204.7</v>
      </c>
      <c r="D42" s="1">
        <v>45190.672222222223</v>
      </c>
      <c r="E42" t="s">
        <v>18</v>
      </c>
      <c r="F42" t="s">
        <v>105</v>
      </c>
      <c r="G42" t="s">
        <v>531</v>
      </c>
      <c r="H42" t="s">
        <v>417</v>
      </c>
      <c r="I42" t="s">
        <v>60</v>
      </c>
      <c r="J42" t="s">
        <v>23</v>
      </c>
      <c r="K42">
        <v>49</v>
      </c>
      <c r="L42" t="s">
        <v>47</v>
      </c>
      <c r="M42">
        <v>95</v>
      </c>
      <c r="N42">
        <v>5</v>
      </c>
      <c r="O42">
        <v>5117.03</v>
      </c>
      <c r="P42" s="1">
        <v>45600.340277777781</v>
      </c>
    </row>
    <row r="43" spans="1:16" x14ac:dyDescent="0.3">
      <c r="A43" t="s">
        <v>532</v>
      </c>
      <c r="B43" t="s">
        <v>533</v>
      </c>
      <c r="C43">
        <v>262.43</v>
      </c>
      <c r="D43" s="1">
        <v>45090.726388888892</v>
      </c>
      <c r="E43" t="s">
        <v>27</v>
      </c>
      <c r="F43" t="s">
        <v>114</v>
      </c>
      <c r="G43" t="s">
        <v>534</v>
      </c>
      <c r="H43" t="s">
        <v>535</v>
      </c>
      <c r="I43" t="s">
        <v>183</v>
      </c>
      <c r="J43" t="s">
        <v>31</v>
      </c>
      <c r="K43">
        <v>37</v>
      </c>
      <c r="L43" t="s">
        <v>47</v>
      </c>
      <c r="M43">
        <v>274</v>
      </c>
      <c r="N43">
        <v>5</v>
      </c>
      <c r="O43">
        <v>12841.01</v>
      </c>
      <c r="P43" s="1">
        <v>45600.338194444441</v>
      </c>
    </row>
    <row r="44" spans="1:16" x14ac:dyDescent="0.3">
      <c r="A44" t="s">
        <v>536</v>
      </c>
      <c r="B44" t="s">
        <v>257</v>
      </c>
      <c r="C44">
        <v>434.17</v>
      </c>
      <c r="D44" s="1">
        <v>44931.694444444445</v>
      </c>
      <c r="E44" t="s">
        <v>18</v>
      </c>
      <c r="F44" t="s">
        <v>248</v>
      </c>
      <c r="G44" t="s">
        <v>537</v>
      </c>
      <c r="H44" t="s">
        <v>538</v>
      </c>
      <c r="I44" t="s">
        <v>539</v>
      </c>
      <c r="J44" t="s">
        <v>39</v>
      </c>
      <c r="K44">
        <v>21</v>
      </c>
      <c r="L44" t="s">
        <v>24</v>
      </c>
      <c r="M44">
        <v>148</v>
      </c>
      <c r="N44">
        <v>5</v>
      </c>
      <c r="O44">
        <v>5335.44</v>
      </c>
      <c r="P44" s="1">
        <v>45600.339583333334</v>
      </c>
    </row>
    <row r="45" spans="1:16" x14ac:dyDescent="0.3">
      <c r="A45" t="s">
        <v>540</v>
      </c>
      <c r="B45" t="s">
        <v>541</v>
      </c>
      <c r="C45">
        <v>108.75</v>
      </c>
      <c r="D45" s="1">
        <v>45216.67291666667</v>
      </c>
      <c r="E45" t="s">
        <v>18</v>
      </c>
      <c r="F45" t="s">
        <v>88</v>
      </c>
      <c r="G45" t="s">
        <v>542</v>
      </c>
      <c r="H45" t="s">
        <v>543</v>
      </c>
      <c r="I45" t="s">
        <v>544</v>
      </c>
      <c r="J45" t="s">
        <v>39</v>
      </c>
      <c r="K45">
        <v>50</v>
      </c>
      <c r="L45" t="s">
        <v>47</v>
      </c>
      <c r="M45">
        <v>23</v>
      </c>
      <c r="N45">
        <v>4</v>
      </c>
      <c r="O45">
        <v>14829.85</v>
      </c>
      <c r="P45" s="1">
        <v>45600.340277777781</v>
      </c>
    </row>
    <row r="46" spans="1:16" x14ac:dyDescent="0.3">
      <c r="A46" t="s">
        <v>545</v>
      </c>
      <c r="B46" t="s">
        <v>135</v>
      </c>
      <c r="C46">
        <v>109.28</v>
      </c>
      <c r="D46" s="1">
        <v>45086.680555555555</v>
      </c>
      <c r="E46" t="s">
        <v>18</v>
      </c>
      <c r="F46" t="s">
        <v>114</v>
      </c>
      <c r="G46" t="s">
        <v>546</v>
      </c>
      <c r="H46" t="s">
        <v>547</v>
      </c>
      <c r="I46" t="s">
        <v>85</v>
      </c>
      <c r="J46" t="s">
        <v>31</v>
      </c>
      <c r="K46">
        <v>36</v>
      </c>
      <c r="L46" t="s">
        <v>32</v>
      </c>
      <c r="M46">
        <v>112</v>
      </c>
      <c r="N46">
        <v>4</v>
      </c>
      <c r="O46">
        <v>6338.35</v>
      </c>
      <c r="P46" s="1">
        <v>45600.338194444441</v>
      </c>
    </row>
    <row r="47" spans="1:16" x14ac:dyDescent="0.3">
      <c r="A47" t="s">
        <v>548</v>
      </c>
      <c r="B47" t="s">
        <v>549</v>
      </c>
      <c r="C47">
        <v>1.93</v>
      </c>
      <c r="D47" s="1">
        <v>45218.754166666666</v>
      </c>
      <c r="E47" t="s">
        <v>18</v>
      </c>
      <c r="F47" t="s">
        <v>550</v>
      </c>
      <c r="G47" t="s">
        <v>551</v>
      </c>
      <c r="H47" t="s">
        <v>552</v>
      </c>
      <c r="I47" t="s">
        <v>269</v>
      </c>
      <c r="J47" t="s">
        <v>23</v>
      </c>
      <c r="K47">
        <v>47</v>
      </c>
      <c r="L47" t="s">
        <v>47</v>
      </c>
      <c r="M47">
        <v>175</v>
      </c>
      <c r="N47">
        <v>5</v>
      </c>
      <c r="O47">
        <v>5684.09</v>
      </c>
      <c r="P47" s="1">
        <v>45600.338888888888</v>
      </c>
    </row>
    <row r="48" spans="1:16" x14ac:dyDescent="0.3">
      <c r="A48" t="s">
        <v>553</v>
      </c>
      <c r="B48" t="s">
        <v>554</v>
      </c>
      <c r="C48">
        <v>238.54</v>
      </c>
      <c r="D48" s="1">
        <v>45023.669444444444</v>
      </c>
      <c r="E48" t="s">
        <v>18</v>
      </c>
      <c r="F48" t="s">
        <v>19</v>
      </c>
      <c r="G48" t="s">
        <v>275</v>
      </c>
      <c r="H48" t="s">
        <v>555</v>
      </c>
      <c r="I48" t="s">
        <v>325</v>
      </c>
      <c r="J48" t="s">
        <v>39</v>
      </c>
      <c r="K48">
        <v>19</v>
      </c>
      <c r="L48" t="s">
        <v>24</v>
      </c>
      <c r="M48">
        <v>12</v>
      </c>
      <c r="N48">
        <v>4</v>
      </c>
      <c r="O48">
        <v>868.91</v>
      </c>
      <c r="P48" s="1">
        <v>45600.338194444441</v>
      </c>
    </row>
    <row r="49" spans="1:16" x14ac:dyDescent="0.3">
      <c r="A49" t="s">
        <v>556</v>
      </c>
      <c r="B49" t="s">
        <v>257</v>
      </c>
      <c r="C49">
        <v>17.79</v>
      </c>
      <c r="D49" s="1">
        <v>44979.709027777775</v>
      </c>
      <c r="E49" t="s">
        <v>18</v>
      </c>
      <c r="F49" t="s">
        <v>58</v>
      </c>
      <c r="G49" t="s">
        <v>557</v>
      </c>
      <c r="H49" t="s">
        <v>558</v>
      </c>
      <c r="I49" t="s">
        <v>81</v>
      </c>
      <c r="J49" t="s">
        <v>23</v>
      </c>
      <c r="K49">
        <v>61</v>
      </c>
      <c r="L49" t="s">
        <v>40</v>
      </c>
      <c r="M49">
        <v>162</v>
      </c>
      <c r="N49">
        <v>5</v>
      </c>
      <c r="O49">
        <v>2281.9</v>
      </c>
      <c r="P49" s="1">
        <v>45600.34097222222</v>
      </c>
    </row>
    <row r="50" spans="1:16" x14ac:dyDescent="0.3">
      <c r="A50" t="s">
        <v>559</v>
      </c>
      <c r="B50" t="s">
        <v>243</v>
      </c>
      <c r="C50">
        <v>331.32</v>
      </c>
      <c r="D50" s="1">
        <v>45082.724999999999</v>
      </c>
      <c r="E50" t="s">
        <v>18</v>
      </c>
      <c r="F50" t="s">
        <v>560</v>
      </c>
      <c r="G50" t="s">
        <v>561</v>
      </c>
      <c r="H50" t="s">
        <v>562</v>
      </c>
      <c r="I50" t="s">
        <v>188</v>
      </c>
      <c r="J50" t="s">
        <v>23</v>
      </c>
      <c r="K50">
        <v>61</v>
      </c>
      <c r="L50" t="s">
        <v>47</v>
      </c>
      <c r="M50">
        <v>137</v>
      </c>
      <c r="N50">
        <v>5</v>
      </c>
      <c r="O50">
        <v>13054.54</v>
      </c>
      <c r="P50" s="1">
        <v>45600.338194444441</v>
      </c>
    </row>
    <row r="51" spans="1:16" x14ac:dyDescent="0.3">
      <c r="A51" t="s">
        <v>563</v>
      </c>
      <c r="B51" t="s">
        <v>482</v>
      </c>
      <c r="C51">
        <v>136.47999999999999</v>
      </c>
      <c r="D51" s="1">
        <v>45152.698611111111</v>
      </c>
      <c r="E51" t="s">
        <v>18</v>
      </c>
      <c r="F51" t="s">
        <v>251</v>
      </c>
      <c r="G51" t="s">
        <v>564</v>
      </c>
      <c r="H51" t="s">
        <v>565</v>
      </c>
      <c r="I51" t="s">
        <v>566</v>
      </c>
      <c r="J51" t="s">
        <v>31</v>
      </c>
      <c r="K51">
        <v>52</v>
      </c>
      <c r="L51" t="s">
        <v>32</v>
      </c>
      <c r="M51">
        <v>138</v>
      </c>
      <c r="N51">
        <v>4</v>
      </c>
      <c r="O51">
        <v>4618.53</v>
      </c>
      <c r="P51" s="1">
        <v>45600.339583333334</v>
      </c>
    </row>
    <row r="52" spans="1:16" x14ac:dyDescent="0.3">
      <c r="A52" t="s">
        <v>567</v>
      </c>
      <c r="B52" t="s">
        <v>217</v>
      </c>
      <c r="C52">
        <v>451.31</v>
      </c>
      <c r="D52" s="1">
        <v>45264.706250000003</v>
      </c>
      <c r="E52" t="s">
        <v>18</v>
      </c>
      <c r="F52" t="s">
        <v>131</v>
      </c>
      <c r="G52" t="s">
        <v>568</v>
      </c>
      <c r="H52" t="s">
        <v>335</v>
      </c>
      <c r="I52" t="s">
        <v>183</v>
      </c>
      <c r="J52" t="s">
        <v>39</v>
      </c>
      <c r="K52">
        <v>62</v>
      </c>
      <c r="L52" t="s">
        <v>40</v>
      </c>
      <c r="M52">
        <v>166</v>
      </c>
      <c r="N52">
        <v>5</v>
      </c>
      <c r="O52">
        <v>2963.29</v>
      </c>
      <c r="P52" s="1">
        <v>45600.338194444441</v>
      </c>
    </row>
    <row r="53" spans="1:16" x14ac:dyDescent="0.3">
      <c r="A53" t="s">
        <v>569</v>
      </c>
      <c r="B53" t="s">
        <v>570</v>
      </c>
      <c r="C53">
        <v>74.11</v>
      </c>
      <c r="D53" s="1">
        <v>45177.67291666667</v>
      </c>
      <c r="E53" t="s">
        <v>27</v>
      </c>
      <c r="F53" t="s">
        <v>367</v>
      </c>
      <c r="G53" t="s">
        <v>571</v>
      </c>
      <c r="H53" t="s">
        <v>572</v>
      </c>
      <c r="I53" t="s">
        <v>496</v>
      </c>
      <c r="J53" t="s">
        <v>31</v>
      </c>
      <c r="K53">
        <v>69</v>
      </c>
      <c r="L53" t="s">
        <v>40</v>
      </c>
      <c r="M53">
        <v>71</v>
      </c>
      <c r="N53">
        <v>4</v>
      </c>
      <c r="O53">
        <v>3920.11</v>
      </c>
      <c r="P53" s="1">
        <v>45600.338888888888</v>
      </c>
    </row>
    <row r="54" spans="1:16" x14ac:dyDescent="0.3">
      <c r="A54" t="s">
        <v>573</v>
      </c>
      <c r="B54" t="s">
        <v>574</v>
      </c>
      <c r="C54">
        <v>146.55000000000001</v>
      </c>
      <c r="D54" s="1">
        <v>45141.774305555555</v>
      </c>
      <c r="E54" t="s">
        <v>18</v>
      </c>
      <c r="F54" t="s">
        <v>367</v>
      </c>
      <c r="G54" t="s">
        <v>575</v>
      </c>
      <c r="H54" t="s">
        <v>576</v>
      </c>
      <c r="I54" t="s">
        <v>577</v>
      </c>
      <c r="J54" t="s">
        <v>31</v>
      </c>
      <c r="K54">
        <v>54</v>
      </c>
      <c r="L54" t="s">
        <v>40</v>
      </c>
      <c r="M54">
        <v>124</v>
      </c>
      <c r="N54">
        <v>5</v>
      </c>
      <c r="O54">
        <v>4087.44</v>
      </c>
      <c r="P54" s="1">
        <v>45600.338194444441</v>
      </c>
    </row>
    <row r="55" spans="1:16" x14ac:dyDescent="0.3">
      <c r="A55" t="s">
        <v>578</v>
      </c>
      <c r="B55" t="s">
        <v>579</v>
      </c>
      <c r="C55">
        <v>28.04</v>
      </c>
      <c r="D55" s="1">
        <v>44972.692361111112</v>
      </c>
      <c r="E55" t="s">
        <v>18</v>
      </c>
      <c r="F55" t="s">
        <v>181</v>
      </c>
      <c r="G55" t="s">
        <v>440</v>
      </c>
      <c r="H55" t="s">
        <v>580</v>
      </c>
      <c r="I55" t="s">
        <v>581</v>
      </c>
      <c r="J55" t="s">
        <v>39</v>
      </c>
      <c r="K55">
        <v>57</v>
      </c>
      <c r="L55" t="s">
        <v>47</v>
      </c>
      <c r="M55">
        <v>146</v>
      </c>
      <c r="N55">
        <v>5</v>
      </c>
      <c r="O55">
        <v>11197.54</v>
      </c>
      <c r="P55" s="1">
        <v>45600.341666666667</v>
      </c>
    </row>
    <row r="56" spans="1:16" x14ac:dyDescent="0.3">
      <c r="A56" t="s">
        <v>582</v>
      </c>
      <c r="B56" t="s">
        <v>204</v>
      </c>
      <c r="C56">
        <v>58.32</v>
      </c>
      <c r="D56" s="1">
        <v>45138.681250000001</v>
      </c>
      <c r="E56" t="s">
        <v>27</v>
      </c>
      <c r="F56" t="s">
        <v>209</v>
      </c>
      <c r="G56" t="s">
        <v>583</v>
      </c>
      <c r="H56" t="s">
        <v>119</v>
      </c>
      <c r="I56" t="s">
        <v>584</v>
      </c>
      <c r="J56" t="s">
        <v>23</v>
      </c>
      <c r="K56">
        <v>29</v>
      </c>
      <c r="L56" t="s">
        <v>32</v>
      </c>
      <c r="M56">
        <v>275</v>
      </c>
      <c r="N56">
        <v>4</v>
      </c>
      <c r="O56">
        <v>6027.49</v>
      </c>
      <c r="P56" s="1">
        <v>45600.337500000001</v>
      </c>
    </row>
    <row r="57" spans="1:16" x14ac:dyDescent="0.3">
      <c r="A57" t="s">
        <v>585</v>
      </c>
      <c r="B57" t="s">
        <v>317</v>
      </c>
      <c r="C57">
        <v>441.26</v>
      </c>
      <c r="D57" s="1">
        <v>44984.671527777777</v>
      </c>
      <c r="E57" t="s">
        <v>27</v>
      </c>
      <c r="F57" t="s">
        <v>123</v>
      </c>
      <c r="G57" t="s">
        <v>334</v>
      </c>
      <c r="H57" t="s">
        <v>586</v>
      </c>
      <c r="I57" t="s">
        <v>69</v>
      </c>
      <c r="J57" t="s">
        <v>23</v>
      </c>
      <c r="K57">
        <v>58</v>
      </c>
      <c r="L57" t="s">
        <v>47</v>
      </c>
      <c r="M57">
        <v>87</v>
      </c>
      <c r="N57">
        <v>5</v>
      </c>
      <c r="O57">
        <v>13704.92</v>
      </c>
      <c r="P57" s="1">
        <v>45600.34097222222</v>
      </c>
    </row>
    <row r="58" spans="1:16" x14ac:dyDescent="0.3">
      <c r="A58" t="s">
        <v>587</v>
      </c>
      <c r="B58" t="s">
        <v>588</v>
      </c>
      <c r="C58">
        <v>737.46</v>
      </c>
      <c r="D58" s="1">
        <v>44929.686111111114</v>
      </c>
      <c r="E58" t="s">
        <v>27</v>
      </c>
      <c r="F58" t="s">
        <v>365</v>
      </c>
      <c r="G58" t="s">
        <v>589</v>
      </c>
      <c r="H58" t="s">
        <v>590</v>
      </c>
      <c r="I58" t="s">
        <v>331</v>
      </c>
      <c r="J58" t="s">
        <v>23</v>
      </c>
      <c r="K58">
        <v>53</v>
      </c>
      <c r="L58" t="s">
        <v>47</v>
      </c>
      <c r="M58">
        <v>75</v>
      </c>
      <c r="N58">
        <v>4</v>
      </c>
      <c r="O58">
        <v>634.16</v>
      </c>
      <c r="P58" s="1">
        <v>45600.338194444441</v>
      </c>
    </row>
    <row r="59" spans="1:16" x14ac:dyDescent="0.3">
      <c r="A59" t="s">
        <v>591</v>
      </c>
      <c r="B59" t="s">
        <v>592</v>
      </c>
      <c r="C59">
        <v>624</v>
      </c>
      <c r="D59" s="1">
        <v>44973.731944444444</v>
      </c>
      <c r="E59" t="s">
        <v>18</v>
      </c>
      <c r="F59" t="s">
        <v>88</v>
      </c>
      <c r="G59" t="s">
        <v>593</v>
      </c>
      <c r="H59" t="s">
        <v>219</v>
      </c>
      <c r="I59" t="s">
        <v>544</v>
      </c>
      <c r="J59" t="s">
        <v>23</v>
      </c>
      <c r="K59">
        <v>26</v>
      </c>
      <c r="L59" t="s">
        <v>32</v>
      </c>
      <c r="M59">
        <v>132</v>
      </c>
      <c r="N59">
        <v>5</v>
      </c>
      <c r="O59">
        <v>4976.18</v>
      </c>
      <c r="P59" s="1">
        <v>45600.34097222222</v>
      </c>
    </row>
    <row r="60" spans="1:16" x14ac:dyDescent="0.3">
      <c r="A60" t="s">
        <v>594</v>
      </c>
      <c r="B60" t="s">
        <v>595</v>
      </c>
      <c r="C60">
        <v>10.15</v>
      </c>
      <c r="D60" s="1">
        <v>44980.70208333333</v>
      </c>
      <c r="E60" t="s">
        <v>18</v>
      </c>
      <c r="F60" t="s">
        <v>28</v>
      </c>
      <c r="G60" t="s">
        <v>596</v>
      </c>
      <c r="H60" t="s">
        <v>597</v>
      </c>
      <c r="I60" t="s">
        <v>159</v>
      </c>
      <c r="J60" t="s">
        <v>39</v>
      </c>
      <c r="K60">
        <v>59</v>
      </c>
      <c r="L60" t="s">
        <v>47</v>
      </c>
      <c r="M60">
        <v>58</v>
      </c>
      <c r="N60">
        <v>5</v>
      </c>
      <c r="O60">
        <v>7155.04</v>
      </c>
      <c r="P60" s="1">
        <v>45600.34097222222</v>
      </c>
    </row>
    <row r="61" spans="1:16" x14ac:dyDescent="0.3">
      <c r="A61" t="s">
        <v>598</v>
      </c>
      <c r="B61" t="s">
        <v>599</v>
      </c>
      <c r="C61">
        <v>15.81</v>
      </c>
      <c r="D61" s="1">
        <v>44987.775000000001</v>
      </c>
      <c r="E61" t="s">
        <v>18</v>
      </c>
      <c r="F61" t="s">
        <v>105</v>
      </c>
      <c r="G61" t="s">
        <v>600</v>
      </c>
      <c r="H61" t="s">
        <v>125</v>
      </c>
      <c r="I61" t="s">
        <v>472</v>
      </c>
      <c r="J61" t="s">
        <v>23</v>
      </c>
      <c r="K61">
        <v>69</v>
      </c>
      <c r="L61" t="s">
        <v>47</v>
      </c>
      <c r="M61">
        <v>11</v>
      </c>
      <c r="N61">
        <v>4</v>
      </c>
      <c r="O61">
        <v>8384.85</v>
      </c>
      <c r="P61" s="1">
        <v>45600.341666666667</v>
      </c>
    </row>
    <row r="62" spans="1:16" x14ac:dyDescent="0.3">
      <c r="A62" t="s">
        <v>601</v>
      </c>
      <c r="B62" t="s">
        <v>161</v>
      </c>
      <c r="C62">
        <v>336.01</v>
      </c>
      <c r="D62" s="1">
        <v>45239.78125</v>
      </c>
      <c r="E62" t="s">
        <v>18</v>
      </c>
      <c r="F62" t="s">
        <v>96</v>
      </c>
      <c r="G62" t="s">
        <v>223</v>
      </c>
      <c r="H62" t="s">
        <v>602</v>
      </c>
      <c r="I62" t="s">
        <v>603</v>
      </c>
      <c r="J62" t="s">
        <v>31</v>
      </c>
      <c r="K62">
        <v>63</v>
      </c>
      <c r="L62" t="s">
        <v>47</v>
      </c>
      <c r="M62">
        <v>121</v>
      </c>
      <c r="N62">
        <v>4</v>
      </c>
      <c r="O62">
        <v>9938.2000000000007</v>
      </c>
      <c r="P62" s="1">
        <v>45600.338888888888</v>
      </c>
    </row>
    <row r="63" spans="1:16" x14ac:dyDescent="0.3">
      <c r="A63" t="s">
        <v>604</v>
      </c>
      <c r="B63" t="s">
        <v>605</v>
      </c>
      <c r="C63">
        <v>176.52</v>
      </c>
      <c r="D63" s="1">
        <v>44999.712500000001</v>
      </c>
      <c r="E63" t="s">
        <v>27</v>
      </c>
      <c r="F63" t="s">
        <v>114</v>
      </c>
      <c r="G63" t="s">
        <v>606</v>
      </c>
      <c r="H63" t="s">
        <v>607</v>
      </c>
      <c r="I63" t="s">
        <v>449</v>
      </c>
      <c r="J63" t="s">
        <v>31</v>
      </c>
      <c r="K63">
        <v>73</v>
      </c>
      <c r="L63" t="s">
        <v>40</v>
      </c>
      <c r="M63">
        <v>94</v>
      </c>
      <c r="N63">
        <v>5</v>
      </c>
      <c r="O63">
        <v>7132.08</v>
      </c>
      <c r="P63" s="1">
        <v>45600.338888888888</v>
      </c>
    </row>
    <row r="64" spans="1:16" x14ac:dyDescent="0.3">
      <c r="A64" t="s">
        <v>608</v>
      </c>
      <c r="B64" t="s">
        <v>437</v>
      </c>
      <c r="C64">
        <v>21.23</v>
      </c>
      <c r="D64" s="1">
        <v>45180.690972222219</v>
      </c>
      <c r="E64" t="s">
        <v>18</v>
      </c>
      <c r="F64" t="s">
        <v>367</v>
      </c>
      <c r="G64" t="s">
        <v>213</v>
      </c>
      <c r="H64" t="s">
        <v>244</v>
      </c>
      <c r="I64" t="s">
        <v>609</v>
      </c>
      <c r="J64" t="s">
        <v>39</v>
      </c>
      <c r="K64">
        <v>23</v>
      </c>
      <c r="L64" t="s">
        <v>24</v>
      </c>
      <c r="M64">
        <v>103</v>
      </c>
      <c r="N64">
        <v>4</v>
      </c>
      <c r="O64">
        <v>319.18</v>
      </c>
      <c r="P64" s="1">
        <v>45600.339583333334</v>
      </c>
    </row>
    <row r="65" spans="1:16" x14ac:dyDescent="0.3">
      <c r="A65" t="s">
        <v>610</v>
      </c>
      <c r="B65" t="s">
        <v>611</v>
      </c>
      <c r="C65">
        <v>332.06</v>
      </c>
      <c r="D65" s="1">
        <v>45098.693055555559</v>
      </c>
      <c r="E65" t="s">
        <v>18</v>
      </c>
      <c r="F65" t="s">
        <v>612</v>
      </c>
      <c r="G65" t="s">
        <v>534</v>
      </c>
      <c r="H65" t="s">
        <v>171</v>
      </c>
      <c r="I65" t="s">
        <v>288</v>
      </c>
      <c r="J65" t="s">
        <v>39</v>
      </c>
      <c r="K65">
        <v>29</v>
      </c>
      <c r="L65" t="s">
        <v>47</v>
      </c>
      <c r="M65">
        <v>221</v>
      </c>
      <c r="N65">
        <v>4</v>
      </c>
      <c r="O65">
        <v>11826.52</v>
      </c>
      <c r="P65" s="1">
        <v>45600.337500000001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634B-8123-4D60-B67C-A91515AD836F}">
  <dimension ref="A1:B4"/>
  <sheetViews>
    <sheetView workbookViewId="0">
      <selection sqref="A1:B4"/>
    </sheetView>
  </sheetViews>
  <sheetFormatPr defaultRowHeight="14.4" x14ac:dyDescent="0.3"/>
  <cols>
    <col min="1" max="1" width="10" bestFit="1" customWidth="1"/>
    <col min="2" max="2" width="8.109375" bestFit="1" customWidth="1"/>
  </cols>
  <sheetData>
    <row r="1" spans="1:2" x14ac:dyDescent="0.3">
      <c r="A1" t="s">
        <v>9</v>
      </c>
      <c r="B1" t="s">
        <v>376</v>
      </c>
    </row>
    <row r="2" spans="1:2" x14ac:dyDescent="0.3">
      <c r="A2" t="s">
        <v>39</v>
      </c>
      <c r="B2">
        <v>833</v>
      </c>
    </row>
    <row r="3" spans="1:2" x14ac:dyDescent="0.3">
      <c r="A3" t="s">
        <v>31</v>
      </c>
      <c r="B3">
        <v>811</v>
      </c>
    </row>
    <row r="4" spans="1:2" x14ac:dyDescent="0.3">
      <c r="A4" t="s">
        <v>23</v>
      </c>
      <c r="B4">
        <v>868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B965-1C3D-4371-B62D-1249FD03ED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A349CE-D2CA-4EC7-A54C-6BC5F4B5B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age_distribution</vt:lpstr>
      <vt:lpstr>high_risk</vt:lpstr>
      <vt:lpstr>frequent _transaction</vt:lpstr>
      <vt:lpstr>suspecious_transaction</vt:lpstr>
      <vt:lpstr>occupation_analysis</vt:lpstr>
      <vt:lpstr>multiple_login</vt:lpstr>
      <vt:lpstr>channel_usage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manjulamuraleedharan25@gmail.com</dc:creator>
  <cp:lastModifiedBy>manjulamuraleedharan25@gmail.com</cp:lastModifiedBy>
  <dcterms:created xsi:type="dcterms:W3CDTF">2025-12-23T09:15:51Z</dcterms:created>
  <dcterms:modified xsi:type="dcterms:W3CDTF">2025-12-27T11:53:50Z</dcterms:modified>
</cp:coreProperties>
</file>